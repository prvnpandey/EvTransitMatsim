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51F84284-567E-D04C-9BB5-FAE9212A7C01}" xr6:coauthVersionLast="47" xr6:coauthVersionMax="47" xr10:uidLastSave="{00000000-0000-0000-0000-000000000000}"/>
  <bookViews>
    <workbookView xWindow="0" yWindow="880" windowWidth="36000" windowHeight="22500" firstSheet="6" activeTab="10" xr2:uid="{00000000-000D-0000-FFFF-FFFF00000000}"/>
  </bookViews>
  <sheets>
    <sheet name="AvgSOC" sheetId="1" r:id="rId1"/>
    <sheet name="PowerAndPrice" sheetId="2" r:id="rId2"/>
    <sheet name="ChargerActivity" sheetId="3" r:id="rId3"/>
    <sheet name="ChargerGantt" sheetId="4" r:id="rId4"/>
    <sheet name="FleetUtilisationByBus" sheetId="5" r:id="rId5"/>
    <sheet name="FleetUtilisationFleetAvg" sheetId="6" r:id="rId6"/>
    <sheet name="ChargerUtilisation" sheetId="7" r:id="rId7"/>
    <sheet name="FleetEnergy" sheetId="8" r:id="rId8"/>
    <sheet name="EnergyHeatmap" sheetId="9" r:id="rId9"/>
    <sheet name="Metrics" sheetId="10" r:id="rId10"/>
    <sheet name="Costs_CAPEX" sheetId="11" r:id="rId11"/>
    <sheet name="Costs_OPEX_Month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1" l="1"/>
  <c r="D4" i="11"/>
  <c r="D3" i="11"/>
  <c r="B4" i="12"/>
  <c r="B2" i="12"/>
  <c r="I2" i="10"/>
  <c r="G2" i="10"/>
  <c r="H2" i="10"/>
  <c r="B3" i="12" s="1"/>
  <c r="D2" i="10"/>
  <c r="J2" i="10" l="1"/>
</calcChain>
</file>

<file path=xl/sharedStrings.xml><?xml version="1.0" encoding="utf-8"?>
<sst xmlns="http://schemas.openxmlformats.org/spreadsheetml/2006/main" count="242" uniqueCount="235">
  <si>
    <t>Value [€]</t>
  </si>
  <si>
    <t>Category</t>
  </si>
  <si>
    <t>Quantity</t>
  </si>
  <si>
    <t>Unit Cost [€]</t>
  </si>
  <si>
    <t>Total [€]</t>
  </si>
  <si>
    <t>Fleet CAPEX</t>
  </si>
  <si>
    <t>Charger CAPEX</t>
  </si>
  <si>
    <t>Implementation</t>
  </si>
  <si>
    <t>CAPEX Total</t>
  </si>
  <si>
    <t>Total Fleet Size [buses]</t>
  </si>
  <si>
    <t>Number of Chargers [-]</t>
  </si>
  <si>
    <t>Total Energy [kWh]</t>
  </si>
  <si>
    <t>Avg Energy / Vehicle [kWh]</t>
  </si>
  <si>
    <t>Peak Power [kW]</t>
  </si>
  <si>
    <t>Avg Chargers Used [-]</t>
  </si>
  <si>
    <t>Avg Trips / Vehicle [-]</t>
  </si>
  <si>
    <t>Max Trips / Vehicle [-]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</si>
  <si>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</si>
  <si>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</si>
  <si>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</si>
  <si>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</si>
  <si>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</si>
  <si>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</si>
  <si>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</si>
  <si>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</si>
  <si>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</si>
  <si>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</si>
  <si>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</si>
  <si>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</si>
  <si>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</si>
  <si>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</si>
  <si>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</si>
  <si>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</si>
  <si>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</si>
  <si>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</si>
  <si>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</si>
  <si>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</si>
  <si>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</si>
  <si>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</si>
  <si>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</si>
  <si>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</si>
  <si>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</si>
  <si>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</si>
  <si>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</si>
  <si>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</si>
  <si>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</si>
  <si>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</si>
  <si>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</si>
  <si>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</si>
  <si>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</si>
  <si>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</si>
  <si>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</si>
  <si>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</si>
  <si>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</si>
  <si>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</si>
  <si>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</si>
  <si>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</si>
  <si>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</si>
  <si>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</si>
  <si>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</si>
  <si>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</si>
  <si>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</si>
  <si>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</si>
  <si>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</si>
  <si>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</si>
  <si>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</si>
  <si>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</si>
  <si>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</si>
  <si>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</si>
  <si>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</si>
  <si>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</si>
  <si>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</si>
  <si>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</si>
  <si>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</si>
  <si>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</si>
  <si>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</si>
  <si>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</si>
  <si>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</si>
  <si>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</si>
  <si>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</si>
  <si>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</si>
  <si>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</si>
  <si>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</si>
  <si>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</si>
  <si>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</si>
  <si>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</si>
  <si>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</si>
  <si>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</si>
  <si>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</si>
  <si>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</si>
  <si>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</si>
  <si>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</si>
  <si>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</si>
  <si>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</si>
  <si>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</si>
  <si>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</si>
  <si>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</si>
  <si>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</si>
  <si>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</si>
  <si>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</si>
  <si>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</si>
  <si>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</si>
  <si>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</si>
  <si>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</si>
  <si>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</si>
  <si>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</si>
  <si>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</si>
  <si>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</si>
  <si>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</si>
  <si>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</si>
  <si>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</si>
  <si>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</si>
  <si>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</si>
  <si>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</si>
  <si>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</si>
  <si>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</si>
  <si>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</si>
  <si>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</si>
  <si>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</si>
  <si>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</si>
  <si>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</si>
  <si>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</si>
  <si>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</si>
  <si>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</si>
  <si>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</si>
  <si>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</si>
  <si>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</si>
  <si>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</si>
  <si>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</si>
  <si>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</si>
  <si>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</si>
  <si>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</si>
  <si>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</si>
  <si>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Bus 93</t>
  </si>
  <si>
    <t>Bus 94</t>
  </si>
  <si>
    <t>Bus 95</t>
  </si>
  <si>
    <t>Bus 96</t>
  </si>
  <si>
    <t>Bus 97</t>
  </si>
  <si>
    <t>Bus 98</t>
  </si>
  <si>
    <t>Bus 99</t>
  </si>
  <si>
    <t>Bus 100</t>
  </si>
  <si>
    <t>Bus 101</t>
  </si>
  <si>
    <t>Bus 102</t>
  </si>
  <si>
    <t>Bus 103</t>
  </si>
  <si>
    <t>Bus 104</t>
  </si>
  <si>
    <t>Hour</t>
  </si>
  <si>
    <t>TotalEnergy_kWh</t>
  </si>
  <si>
    <t>State</t>
  </si>
  <si>
    <t>Slots</t>
  </si>
  <si>
    <t>Percentage</t>
  </si>
  <si>
    <t>In Use</t>
  </si>
  <si>
    <t>Idle</t>
  </si>
  <si>
    <t>Activity</t>
  </si>
  <si>
    <t>FleetAvg_pct</t>
  </si>
  <si>
    <t>Driving_pct</t>
  </si>
  <si>
    <t>Charging_pct</t>
  </si>
  <si>
    <t>Idle_pct</t>
  </si>
  <si>
    <t>Bus</t>
  </si>
  <si>
    <t>Driving_h</t>
  </si>
  <si>
    <t>Charging_h</t>
  </si>
  <si>
    <t>Idle_h</t>
  </si>
  <si>
    <t>Total_h</t>
  </si>
  <si>
    <t>Charger</t>
  </si>
  <si>
    <t>StartHour</t>
  </si>
  <si>
    <t>EndHour</t>
  </si>
  <si>
    <t>Duration_h</t>
  </si>
  <si>
    <t>Charger 1</t>
  </si>
  <si>
    <t>Charger 2</t>
  </si>
  <si>
    <t>Charger 3</t>
  </si>
  <si>
    <t>Charger 4</t>
  </si>
  <si>
    <t>Charger 5</t>
  </si>
  <si>
    <t>Charger 6</t>
  </si>
  <si>
    <t>Charger 7</t>
  </si>
  <si>
    <t>Charger 8</t>
  </si>
  <si>
    <t>Charger 9</t>
  </si>
  <si>
    <t>Charger 10</t>
  </si>
  <si>
    <t>Charger 11</t>
  </si>
  <si>
    <t>Charger 12</t>
  </si>
  <si>
    <t>Charger 13</t>
  </si>
  <si>
    <t>Charger 14</t>
  </si>
  <si>
    <t>Charger 15</t>
  </si>
  <si>
    <t>Charger 16</t>
  </si>
  <si>
    <t>Charger 17</t>
  </si>
  <si>
    <t>Charger 18</t>
  </si>
  <si>
    <t>Charger 19</t>
  </si>
  <si>
    <t>Charger 20</t>
  </si>
  <si>
    <t>Charger 21</t>
  </si>
  <si>
    <t>Charger 22</t>
  </si>
  <si>
    <t>Charger 23</t>
  </si>
  <si>
    <t>Charger 24</t>
  </si>
  <si>
    <t>Charger 25</t>
  </si>
  <si>
    <t>Charger 26</t>
  </si>
  <si>
    <t>Charger 27</t>
  </si>
  <si>
    <t>Charger 28</t>
  </si>
  <si>
    <t>Charger 29</t>
  </si>
  <si>
    <t>Charger 30</t>
  </si>
  <si>
    <t>Charger 31</t>
  </si>
  <si>
    <t>Charger 32</t>
  </si>
  <si>
    <t>Charger 33</t>
  </si>
  <si>
    <t>Charger 34</t>
  </si>
  <si>
    <t>Charger 35</t>
  </si>
  <si>
    <t>Charger 36</t>
  </si>
  <si>
    <t>Charger 37</t>
  </si>
  <si>
    <t>Charger 38</t>
  </si>
  <si>
    <t>Charger 39</t>
  </si>
  <si>
    <t>Charger 40</t>
  </si>
  <si>
    <t>Charger 41</t>
  </si>
  <si>
    <t>Charger 42</t>
  </si>
  <si>
    <t>Charger 43</t>
  </si>
  <si>
    <t>Charger 44</t>
  </si>
  <si>
    <t>Charger 45</t>
  </si>
  <si>
    <t>Charger 46</t>
  </si>
  <si>
    <t>Charger 47</t>
  </si>
  <si>
    <t>Charger 48</t>
  </si>
  <si>
    <t>Charger 49</t>
  </si>
  <si>
    <t>Charger 50</t>
  </si>
  <si>
    <t>Charger 51</t>
  </si>
  <si>
    <t>Charger 52</t>
  </si>
  <si>
    <t>Charger 53</t>
  </si>
  <si>
    <t>Charger 54</t>
  </si>
  <si>
    <t>Charger 55</t>
  </si>
  <si>
    <t>Charger 56</t>
  </si>
  <si>
    <t>Charger 57</t>
  </si>
  <si>
    <t>Charger 58</t>
  </si>
  <si>
    <t>TimeStep</t>
  </si>
  <si>
    <t>ChargingPower_kW</t>
  </si>
  <si>
    <t>Price_per_kWh</t>
  </si>
  <si>
    <t>AvgSOC</t>
  </si>
  <si>
    <t xml:space="preserve"> Electricity Costs / day [CAD]</t>
  </si>
  <si>
    <t>Operational costs / day [CAD]</t>
  </si>
  <si>
    <t>Operational Costs / Vehicle [CAD]</t>
  </si>
  <si>
    <t>Contracted Power Costs [CAD]</t>
  </si>
  <si>
    <t>Contracted Power</t>
  </si>
  <si>
    <t>Energy</t>
  </si>
  <si>
    <t>OPEX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</si>
</sst>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5"/>
  <sheetViews>
    <sheetView workbookViewId="0"/>
  </sheetViews>
  <sheetFormatPr baseColWidth="10" defaultColWidth="8.83203125" defaultRowHeight="15" x14ac:dyDescent="0.2"/>
  <cols>
    <col min="1" max="2" width="12.5" style="8" bestFit="1" customWidth="1"/>
    <col min="3" max="3" width="12.5" style="5" bestFit="1" customWidth="1"/>
  </cols>
  <sheetData>
    <row r="1" spans="1:3" ht="19.5" customHeight="1" x14ac:dyDescent="0.2">
      <c r="A1" s="6" t="s">
        <v>224</v>
      </c>
      <c r="B1" s="6" t="s">
        <v>145</v>
      </c>
      <c r="C1" s="2" t="s">
        <v>227</v>
      </c>
    </row>
    <row r="2" spans="1:3" ht="17.25" customHeight="1" x14ac:dyDescent="0.2">
      <c r="A2" s="4">
        <v>1</v>
      </c>
      <c r="B2" s="4">
        <v>0</v>
      </c>
      <c r="C2" s="3">
        <v>0.19999999999999959</v>
      </c>
    </row>
    <row r="3" spans="1:3" ht="17.25" customHeight="1" x14ac:dyDescent="0.2">
      <c r="A3" s="4">
        <v>2</v>
      </c>
      <c r="B3" s="4">
        <v>1</v>
      </c>
      <c r="C3" s="3">
        <v>0.3923076923076923</v>
      </c>
    </row>
    <row r="4" spans="1:3" ht="17.25" customHeight="1" x14ac:dyDescent="0.2">
      <c r="A4" s="4">
        <v>3</v>
      </c>
      <c r="B4" s="4">
        <v>2</v>
      </c>
      <c r="C4" s="3">
        <v>0.68461538461538507</v>
      </c>
    </row>
    <row r="5" spans="1:3" ht="17.25" customHeight="1" x14ac:dyDescent="0.2">
      <c r="A5" s="4">
        <v>4</v>
      </c>
      <c r="B5" s="4">
        <v>3</v>
      </c>
      <c r="C5" s="4">
        <v>1</v>
      </c>
    </row>
    <row r="6" spans="1:3" ht="17.25" customHeight="1" x14ac:dyDescent="0.2">
      <c r="A6" s="4">
        <v>5</v>
      </c>
      <c r="B6" s="4">
        <v>4</v>
      </c>
      <c r="C6" s="3">
        <v>0.98557175588438506</v>
      </c>
    </row>
    <row r="7" spans="1:3" ht="17.25" customHeight="1" x14ac:dyDescent="0.2">
      <c r="A7" s="4">
        <v>6</v>
      </c>
      <c r="B7" s="4">
        <v>5</v>
      </c>
      <c r="C7" s="3">
        <v>0.9147694259291993</v>
      </c>
    </row>
    <row r="8" spans="1:3" ht="17.25" customHeight="1" x14ac:dyDescent="0.2">
      <c r="A8" s="4">
        <v>7</v>
      </c>
      <c r="B8" s="4">
        <v>6</v>
      </c>
      <c r="C8" s="3">
        <v>0.81104668673987412</v>
      </c>
    </row>
    <row r="9" spans="1:3" ht="17.25" customHeight="1" x14ac:dyDescent="0.2">
      <c r="A9" s="4">
        <v>8</v>
      </c>
      <c r="B9" s="4">
        <v>7</v>
      </c>
      <c r="C9" s="3">
        <v>0.69425801744480198</v>
      </c>
    </row>
    <row r="10" spans="1:3" ht="17.25" customHeight="1" x14ac:dyDescent="0.2">
      <c r="A10" s="4">
        <v>9</v>
      </c>
      <c r="B10" s="4">
        <v>8</v>
      </c>
      <c r="C10" s="3">
        <v>0.66971840198387789</v>
      </c>
    </row>
    <row r="11" spans="1:3" ht="17.25" customHeight="1" x14ac:dyDescent="0.2">
      <c r="A11" s="4">
        <v>10</v>
      </c>
      <c r="B11" s="4">
        <v>9</v>
      </c>
      <c r="C11" s="3">
        <v>0.72588632209726989</v>
      </c>
    </row>
    <row r="12" spans="1:3" ht="17.25" customHeight="1" x14ac:dyDescent="0.2">
      <c r="A12" s="4">
        <v>11</v>
      </c>
      <c r="B12" s="4">
        <v>10</v>
      </c>
      <c r="C12" s="3">
        <v>0.80068550078003509</v>
      </c>
    </row>
    <row r="13" spans="1:3" ht="17.25" customHeight="1" x14ac:dyDescent="0.2">
      <c r="A13" s="4">
        <v>12</v>
      </c>
      <c r="B13" s="4">
        <v>11</v>
      </c>
      <c r="C13" s="3">
        <v>0.72283225555663022</v>
      </c>
    </row>
    <row r="14" spans="1:3" ht="17.25" customHeight="1" x14ac:dyDescent="0.2">
      <c r="A14" s="4">
        <v>13</v>
      </c>
      <c r="B14" s="4">
        <v>12</v>
      </c>
      <c r="C14" s="3">
        <v>0.66758177312005018</v>
      </c>
    </row>
    <row r="15" spans="1:3" ht="17.25" customHeight="1" x14ac:dyDescent="0.2">
      <c r="A15" s="4">
        <v>14</v>
      </c>
      <c r="B15" s="4">
        <v>13</v>
      </c>
      <c r="C15" s="3">
        <v>0.59901880801550356</v>
      </c>
    </row>
    <row r="16" spans="1:3" ht="17.25" customHeight="1" x14ac:dyDescent="0.2">
      <c r="A16" s="4">
        <v>15</v>
      </c>
      <c r="B16" s="4">
        <v>14</v>
      </c>
      <c r="C16" s="3">
        <v>0.47944159794639007</v>
      </c>
    </row>
    <row r="17" spans="1:3" ht="17.25" customHeight="1" x14ac:dyDescent="0.2">
      <c r="A17" s="4">
        <v>16</v>
      </c>
      <c r="B17" s="4">
        <v>15</v>
      </c>
      <c r="C17" s="3">
        <v>0.36958605979202253</v>
      </c>
    </row>
    <row r="18" spans="1:3" ht="17.25" customHeight="1" x14ac:dyDescent="0.2">
      <c r="A18" s="4">
        <v>17</v>
      </c>
      <c r="B18" s="4">
        <v>16</v>
      </c>
      <c r="C18" s="3">
        <v>0.34796970922792031</v>
      </c>
    </row>
    <row r="19" spans="1:3" ht="17.25" customHeight="1" x14ac:dyDescent="0.2">
      <c r="A19" s="4">
        <v>18</v>
      </c>
      <c r="B19" s="4">
        <v>17</v>
      </c>
      <c r="C19" s="3">
        <v>0.30343587646827042</v>
      </c>
    </row>
    <row r="20" spans="1:3" ht="17.25" customHeight="1" x14ac:dyDescent="0.2">
      <c r="A20" s="4">
        <v>19</v>
      </c>
      <c r="B20" s="4">
        <v>18</v>
      </c>
      <c r="C20" s="3">
        <v>0.26617919771034582</v>
      </c>
    </row>
    <row r="21" spans="1:3" ht="17.25" customHeight="1" x14ac:dyDescent="0.2">
      <c r="A21" s="4">
        <v>20</v>
      </c>
      <c r="B21" s="4">
        <v>19</v>
      </c>
      <c r="C21" s="3">
        <v>0.29067464224132522</v>
      </c>
    </row>
    <row r="22" spans="1:3" ht="17.25" customHeight="1" x14ac:dyDescent="0.2">
      <c r="A22" s="4">
        <v>21</v>
      </c>
      <c r="B22" s="4">
        <v>20</v>
      </c>
      <c r="C22" s="3">
        <v>0.26910156625397802</v>
      </c>
    </row>
    <row r="23" spans="1:3" ht="17.25" customHeight="1" x14ac:dyDescent="0.2">
      <c r="A23" s="4">
        <v>22</v>
      </c>
      <c r="B23" s="4">
        <v>21</v>
      </c>
      <c r="C23" s="3">
        <v>0.23046556170291529</v>
      </c>
    </row>
    <row r="24" spans="1:3" ht="17.25" customHeight="1" x14ac:dyDescent="0.2">
      <c r="A24" s="4">
        <v>23</v>
      </c>
      <c r="B24" s="4">
        <v>22</v>
      </c>
      <c r="C24" s="3">
        <v>0.19999999999999959</v>
      </c>
    </row>
    <row r="25" spans="1:3" ht="17.25" customHeight="1" x14ac:dyDescent="0.2">
      <c r="A25" s="4">
        <v>24</v>
      </c>
      <c r="B25" s="4">
        <v>23</v>
      </c>
      <c r="C25" s="3">
        <v>0.19999999999999959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25"/>
  <sheetViews>
    <sheetView workbookViewId="0"/>
  </sheetViews>
  <sheetFormatPr baseColWidth="10" defaultColWidth="8.83203125" defaultRowHeight="15" x14ac:dyDescent="0.2"/>
  <cols>
    <col min="1" max="3" width="12.5" style="8" bestFit="1" customWidth="1"/>
    <col min="4" max="4" width="12.5" style="5" bestFit="1" customWidth="1"/>
  </cols>
  <sheetData>
    <row r="1" spans="1:4" ht="17.25" customHeight="1" x14ac:dyDescent="0.2">
      <c r="A1" s="6" t="s">
        <v>224</v>
      </c>
      <c r="B1" s="6" t="s">
        <v>145</v>
      </c>
      <c r="C1" s="6" t="s">
        <v>225</v>
      </c>
      <c r="D1" s="2" t="s">
        <v>226</v>
      </c>
    </row>
    <row r="2" spans="1:4" ht="17.25" customHeight="1" x14ac:dyDescent="0.2">
      <c r="A2" s="4">
        <v>1</v>
      </c>
      <c r="B2" s="4">
        <v>0</v>
      </c>
      <c r="C2" s="4">
        <v>0</v>
      </c>
      <c r="D2" s="3">
        <v>0.08</v>
      </c>
    </row>
    <row r="3" spans="1:4" ht="17.25" customHeight="1" x14ac:dyDescent="0.2">
      <c r="A3" s="4">
        <v>2</v>
      </c>
      <c r="B3" s="4">
        <v>1</v>
      </c>
      <c r="C3" s="4">
        <v>12400</v>
      </c>
      <c r="D3" s="3">
        <v>0.08</v>
      </c>
    </row>
    <row r="4" spans="1:4" ht="17.25" customHeight="1" x14ac:dyDescent="0.2">
      <c r="A4" s="4">
        <v>3</v>
      </c>
      <c r="B4" s="4">
        <v>2</v>
      </c>
      <c r="C4" s="4">
        <v>17200</v>
      </c>
      <c r="D4" s="3">
        <v>0.08</v>
      </c>
    </row>
    <row r="5" spans="1:4" ht="17.25" customHeight="1" x14ac:dyDescent="0.2">
      <c r="A5" s="4">
        <v>4</v>
      </c>
      <c r="B5" s="4">
        <v>3</v>
      </c>
      <c r="C5" s="4">
        <v>18400</v>
      </c>
      <c r="D5" s="3">
        <v>0.08</v>
      </c>
    </row>
    <row r="6" spans="1:4" ht="17.25" customHeight="1" x14ac:dyDescent="0.2">
      <c r="A6" s="4">
        <v>5</v>
      </c>
      <c r="B6" s="4">
        <v>4</v>
      </c>
      <c r="C6" s="4">
        <v>12400</v>
      </c>
      <c r="D6" s="3">
        <v>0.12</v>
      </c>
    </row>
    <row r="7" spans="1:4" ht="17.25" customHeight="1" x14ac:dyDescent="0.2">
      <c r="A7" s="4">
        <v>6</v>
      </c>
      <c r="B7" s="4">
        <v>5</v>
      </c>
      <c r="C7" s="4">
        <v>8400</v>
      </c>
      <c r="D7" s="3">
        <v>0.12</v>
      </c>
    </row>
    <row r="8" spans="1:4" ht="17.25" customHeight="1" x14ac:dyDescent="0.2">
      <c r="A8" s="4">
        <v>7</v>
      </c>
      <c r="B8" s="4">
        <v>6</v>
      </c>
      <c r="C8" s="4">
        <v>5600</v>
      </c>
      <c r="D8" s="3">
        <v>0.12</v>
      </c>
    </row>
    <row r="9" spans="1:4" ht="17.25" customHeight="1" x14ac:dyDescent="0.2">
      <c r="A9" s="4">
        <v>8</v>
      </c>
      <c r="B9" s="4">
        <v>7</v>
      </c>
      <c r="C9" s="4">
        <v>4800</v>
      </c>
      <c r="D9" s="3">
        <v>0.16</v>
      </c>
    </row>
    <row r="10" spans="1:4" ht="17.25" customHeight="1" x14ac:dyDescent="0.2">
      <c r="A10" s="4">
        <v>9</v>
      </c>
      <c r="B10" s="4">
        <v>8</v>
      </c>
      <c r="C10" s="4">
        <v>12000</v>
      </c>
      <c r="D10" s="3">
        <v>0.16</v>
      </c>
    </row>
    <row r="11" spans="1:4" ht="17.25" customHeight="1" x14ac:dyDescent="0.2">
      <c r="A11" s="4">
        <v>10</v>
      </c>
      <c r="B11" s="4">
        <v>9</v>
      </c>
      <c r="C11" s="4">
        <v>13200</v>
      </c>
      <c r="D11" s="3">
        <v>0.16</v>
      </c>
    </row>
    <row r="12" spans="1:4" ht="17.25" customHeight="1" x14ac:dyDescent="0.2">
      <c r="A12" s="4">
        <v>11</v>
      </c>
      <c r="B12" s="4">
        <v>10</v>
      </c>
      <c r="C12" s="4">
        <v>12400</v>
      </c>
      <c r="D12" s="3">
        <v>0.16</v>
      </c>
    </row>
    <row r="13" spans="1:4" ht="17.25" customHeight="1" x14ac:dyDescent="0.2">
      <c r="A13" s="4">
        <v>12</v>
      </c>
      <c r="B13" s="4">
        <v>11</v>
      </c>
      <c r="C13" s="4">
        <v>9200</v>
      </c>
      <c r="D13" s="3">
        <v>0.2</v>
      </c>
    </row>
    <row r="14" spans="1:4" ht="17.25" customHeight="1" x14ac:dyDescent="0.2">
      <c r="A14" s="4">
        <v>13</v>
      </c>
      <c r="B14" s="4">
        <v>12</v>
      </c>
      <c r="C14" s="4">
        <v>10000</v>
      </c>
      <c r="D14" s="3">
        <v>0.2</v>
      </c>
    </row>
    <row r="15" spans="1:4" ht="17.25" customHeight="1" x14ac:dyDescent="0.2">
      <c r="A15" s="4">
        <v>14</v>
      </c>
      <c r="B15" s="4">
        <v>13</v>
      </c>
      <c r="C15" s="4">
        <v>12400</v>
      </c>
      <c r="D15" s="3">
        <v>0.2</v>
      </c>
    </row>
    <row r="16" spans="1:4" ht="17.25" customHeight="1" x14ac:dyDescent="0.2">
      <c r="A16" s="4">
        <v>15</v>
      </c>
      <c r="B16" s="4">
        <v>14</v>
      </c>
      <c r="C16" s="4">
        <v>4800</v>
      </c>
      <c r="D16" s="3">
        <v>0.2</v>
      </c>
    </row>
    <row r="17" spans="1:4" ht="17.25" customHeight="1" x14ac:dyDescent="0.2">
      <c r="A17" s="4">
        <v>16</v>
      </c>
      <c r="B17" s="4">
        <v>15</v>
      </c>
      <c r="C17" s="4">
        <v>5200</v>
      </c>
      <c r="D17" s="3">
        <v>0.2</v>
      </c>
    </row>
    <row r="18" spans="1:4" ht="17.25" customHeight="1" x14ac:dyDescent="0.2">
      <c r="A18" s="4">
        <v>17</v>
      </c>
      <c r="B18" s="4">
        <v>16</v>
      </c>
      <c r="C18" s="4">
        <v>10000</v>
      </c>
      <c r="D18" s="3">
        <v>0.16</v>
      </c>
    </row>
    <row r="19" spans="1:4" ht="17.25" customHeight="1" x14ac:dyDescent="0.2">
      <c r="A19" s="4">
        <v>18</v>
      </c>
      <c r="B19" s="4">
        <v>17</v>
      </c>
      <c r="C19" s="4">
        <v>12800</v>
      </c>
      <c r="D19" s="3">
        <v>0.16</v>
      </c>
    </row>
    <row r="20" spans="1:4" ht="17.25" customHeight="1" x14ac:dyDescent="0.2">
      <c r="A20" s="4">
        <v>19</v>
      </c>
      <c r="B20" s="4">
        <v>18</v>
      </c>
      <c r="C20" s="4">
        <v>14000</v>
      </c>
      <c r="D20" s="3">
        <v>0.16</v>
      </c>
    </row>
    <row r="21" spans="1:4" ht="17.25" customHeight="1" x14ac:dyDescent="0.2">
      <c r="A21" s="4">
        <v>20</v>
      </c>
      <c r="B21" s="4">
        <v>19</v>
      </c>
      <c r="C21" s="4">
        <v>16400</v>
      </c>
      <c r="D21" s="3">
        <v>0.12</v>
      </c>
    </row>
    <row r="22" spans="1:4" ht="17.25" customHeight="1" x14ac:dyDescent="0.2">
      <c r="A22" s="4">
        <v>21</v>
      </c>
      <c r="B22" s="4">
        <v>20</v>
      </c>
      <c r="C22" s="4">
        <v>12800</v>
      </c>
      <c r="D22" s="3">
        <v>0.12</v>
      </c>
    </row>
    <row r="23" spans="1:4" ht="17.25" customHeight="1" x14ac:dyDescent="0.2">
      <c r="A23" s="4">
        <v>22</v>
      </c>
      <c r="B23" s="4">
        <v>21</v>
      </c>
      <c r="C23" s="4">
        <v>10400</v>
      </c>
      <c r="D23" s="3">
        <v>0.12</v>
      </c>
    </row>
    <row r="24" spans="1:4" ht="17.25" customHeight="1" x14ac:dyDescent="0.2">
      <c r="A24" s="4">
        <v>23</v>
      </c>
      <c r="B24" s="4">
        <v>22</v>
      </c>
      <c r="C24" s="4">
        <v>7200</v>
      </c>
      <c r="D24" s="3">
        <v>0.12</v>
      </c>
    </row>
    <row r="25" spans="1:4" ht="17.25" customHeight="1" x14ac:dyDescent="0.2">
      <c r="A25" s="4">
        <v>24</v>
      </c>
      <c r="B25" s="4">
        <v>23</v>
      </c>
      <c r="C25" s="4">
        <v>0</v>
      </c>
      <c r="D25" s="3">
        <v>0.12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Y59"/>
  <sheetViews>
    <sheetView workbookViewId="0"/>
  </sheetViews>
  <sheetFormatPr baseColWidth="10" defaultColWidth="8.83203125" defaultRowHeight="15" x14ac:dyDescent="0.2"/>
  <cols>
    <col min="1" max="1" width="12.5" style="9" bestFit="1" customWidth="1"/>
    <col min="2" max="25" width="12.5" style="8" bestFit="1" customWidth="1"/>
  </cols>
  <sheetData>
    <row r="1" spans="1:25" ht="17.25" customHeight="1" x14ac:dyDescent="0.2">
      <c r="B1" s="6">
        <v>0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</row>
    <row r="2" spans="1:25" ht="17.25" customHeight="1" x14ac:dyDescent="0.2">
      <c r="A2" s="1" t="s">
        <v>166</v>
      </c>
      <c r="B2" s="4">
        <v>0</v>
      </c>
      <c r="C2" s="4">
        <v>0</v>
      </c>
      <c r="D2" s="4">
        <v>1</v>
      </c>
      <c r="E2" s="4">
        <v>1</v>
      </c>
      <c r="F2" s="4">
        <v>0</v>
      </c>
      <c r="G2" s="4">
        <v>0</v>
      </c>
      <c r="H2" s="4">
        <v>1</v>
      </c>
      <c r="I2" s="4">
        <v>1</v>
      </c>
      <c r="J2" s="4">
        <v>0</v>
      </c>
      <c r="K2" s="4">
        <v>1</v>
      </c>
      <c r="L2" s="4">
        <v>0</v>
      </c>
      <c r="M2" s="4">
        <v>0</v>
      </c>
      <c r="N2" s="4">
        <v>1</v>
      </c>
      <c r="O2" s="4">
        <v>1</v>
      </c>
      <c r="P2" s="4">
        <v>1</v>
      </c>
      <c r="Q2" s="4">
        <v>1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0</v>
      </c>
      <c r="X2" s="4">
        <v>0</v>
      </c>
      <c r="Y2" s="4">
        <v>0</v>
      </c>
    </row>
    <row r="3" spans="1:25" ht="17.25" customHeight="1" x14ac:dyDescent="0.2">
      <c r="A3" s="1" t="s">
        <v>167</v>
      </c>
      <c r="B3" s="4">
        <v>0</v>
      </c>
      <c r="C3" s="4">
        <v>1</v>
      </c>
      <c r="D3" s="4">
        <v>1</v>
      </c>
      <c r="E3" s="4">
        <v>1</v>
      </c>
      <c r="F3" s="4">
        <v>0</v>
      </c>
      <c r="G3" s="4">
        <v>1</v>
      </c>
      <c r="H3" s="4">
        <v>0</v>
      </c>
      <c r="I3" s="4">
        <v>1</v>
      </c>
      <c r="J3" s="4">
        <v>1</v>
      </c>
      <c r="K3" s="4">
        <v>1</v>
      </c>
      <c r="L3" s="4">
        <v>0</v>
      </c>
      <c r="M3" s="4">
        <v>0</v>
      </c>
      <c r="N3" s="4">
        <v>0</v>
      </c>
      <c r="O3" s="4">
        <v>1</v>
      </c>
      <c r="P3" s="4">
        <v>0</v>
      </c>
      <c r="Q3" s="4">
        <v>1</v>
      </c>
      <c r="R3" s="4">
        <v>1</v>
      </c>
      <c r="S3" s="4">
        <v>1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</row>
    <row r="4" spans="1:25" ht="17.25" customHeight="1" x14ac:dyDescent="0.2">
      <c r="A4" s="1" t="s">
        <v>168</v>
      </c>
      <c r="B4" s="4">
        <v>0</v>
      </c>
      <c r="C4" s="4">
        <v>0</v>
      </c>
      <c r="D4" s="4">
        <v>0</v>
      </c>
      <c r="E4" s="4">
        <v>1</v>
      </c>
      <c r="F4" s="4">
        <v>1</v>
      </c>
      <c r="G4" s="4">
        <v>0</v>
      </c>
      <c r="H4" s="4">
        <v>0</v>
      </c>
      <c r="I4" s="4">
        <v>0</v>
      </c>
      <c r="J4" s="4">
        <v>1</v>
      </c>
      <c r="K4" s="4">
        <v>1</v>
      </c>
      <c r="L4" s="4">
        <v>0</v>
      </c>
      <c r="M4" s="4">
        <v>1</v>
      </c>
      <c r="N4" s="4">
        <v>0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0</v>
      </c>
      <c r="X4" s="4">
        <v>0</v>
      </c>
      <c r="Y4" s="4">
        <v>0</v>
      </c>
    </row>
    <row r="5" spans="1:25" ht="17.25" customHeight="1" x14ac:dyDescent="0.2">
      <c r="A5" s="1" t="s">
        <v>169</v>
      </c>
      <c r="B5" s="4">
        <v>0</v>
      </c>
      <c r="C5" s="4">
        <v>0</v>
      </c>
      <c r="D5" s="4">
        <v>1</v>
      </c>
      <c r="E5" s="4">
        <v>1</v>
      </c>
      <c r="F5" s="4">
        <v>0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1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0</v>
      </c>
    </row>
    <row r="6" spans="1:25" ht="17.25" customHeight="1" x14ac:dyDescent="0.2">
      <c r="A6" s="1" t="s">
        <v>170</v>
      </c>
      <c r="B6" s="4">
        <v>0</v>
      </c>
      <c r="C6" s="4">
        <v>0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>
        <v>1</v>
      </c>
      <c r="J6" s="4">
        <v>0</v>
      </c>
      <c r="K6" s="4">
        <v>1</v>
      </c>
      <c r="L6" s="4">
        <v>1</v>
      </c>
      <c r="M6" s="4">
        <v>1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1</v>
      </c>
      <c r="T6" s="4">
        <v>0</v>
      </c>
      <c r="U6" s="4">
        <v>0</v>
      </c>
      <c r="V6" s="4">
        <v>1</v>
      </c>
      <c r="W6" s="4">
        <v>1</v>
      </c>
      <c r="X6" s="4">
        <v>1</v>
      </c>
      <c r="Y6" s="4">
        <v>0</v>
      </c>
    </row>
    <row r="7" spans="1:25" ht="17.25" customHeight="1" x14ac:dyDescent="0.2">
      <c r="A7" s="1" t="s">
        <v>171</v>
      </c>
      <c r="B7" s="4">
        <v>0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4">
        <v>0</v>
      </c>
      <c r="K7" s="4">
        <v>1</v>
      </c>
      <c r="L7" s="4">
        <v>0</v>
      </c>
      <c r="M7" s="4">
        <v>0</v>
      </c>
      <c r="N7" s="4">
        <v>1</v>
      </c>
      <c r="O7" s="4">
        <v>0</v>
      </c>
      <c r="P7" s="4">
        <v>0</v>
      </c>
      <c r="Q7" s="4">
        <v>1</v>
      </c>
      <c r="R7" s="4">
        <v>0</v>
      </c>
      <c r="S7" s="4">
        <v>1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0</v>
      </c>
    </row>
    <row r="8" spans="1:25" ht="17.25" customHeight="1" x14ac:dyDescent="0.2">
      <c r="A8" s="1" t="s">
        <v>172</v>
      </c>
      <c r="B8" s="4">
        <v>0</v>
      </c>
      <c r="C8" s="4">
        <v>1</v>
      </c>
      <c r="D8" s="4">
        <v>0</v>
      </c>
      <c r="E8" s="4">
        <v>1</v>
      </c>
      <c r="F8" s="4">
        <v>1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1</v>
      </c>
      <c r="M8" s="4">
        <v>0</v>
      </c>
      <c r="N8" s="4">
        <v>1</v>
      </c>
      <c r="O8" s="4">
        <v>1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1:25" ht="17.25" customHeight="1" x14ac:dyDescent="0.2">
      <c r="A9" s="1" t="s">
        <v>173</v>
      </c>
      <c r="B9" s="4">
        <v>0</v>
      </c>
      <c r="C9" s="4">
        <v>0</v>
      </c>
      <c r="D9" s="4">
        <v>1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1</v>
      </c>
      <c r="M9" s="4">
        <v>1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1</v>
      </c>
      <c r="T9" s="4">
        <v>1</v>
      </c>
      <c r="U9" s="4">
        <v>0</v>
      </c>
      <c r="V9" s="4">
        <v>0</v>
      </c>
      <c r="W9" s="4">
        <v>1</v>
      </c>
      <c r="X9" s="4">
        <v>1</v>
      </c>
      <c r="Y9" s="4">
        <v>0</v>
      </c>
    </row>
    <row r="10" spans="1:25" ht="17.25" customHeight="1" x14ac:dyDescent="0.2">
      <c r="A10" s="1" t="s">
        <v>174</v>
      </c>
      <c r="B10" s="4">
        <v>0</v>
      </c>
      <c r="C10" s="4">
        <v>1</v>
      </c>
      <c r="D10" s="4">
        <v>1</v>
      </c>
      <c r="E10" s="4">
        <v>1</v>
      </c>
      <c r="F10" s="4">
        <v>1</v>
      </c>
      <c r="G10" s="4">
        <v>1</v>
      </c>
      <c r="H10" s="4">
        <v>0</v>
      </c>
      <c r="I10" s="4">
        <v>0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0</v>
      </c>
      <c r="P10" s="4">
        <v>1</v>
      </c>
      <c r="Q10" s="4">
        <v>0</v>
      </c>
      <c r="R10" s="4">
        <v>0</v>
      </c>
      <c r="S10" s="4">
        <v>0</v>
      </c>
      <c r="T10" s="4">
        <v>1</v>
      </c>
      <c r="U10" s="4">
        <v>0</v>
      </c>
      <c r="V10" s="4">
        <v>0</v>
      </c>
      <c r="W10" s="4">
        <v>1</v>
      </c>
      <c r="X10" s="4">
        <v>0</v>
      </c>
      <c r="Y10" s="4">
        <v>0</v>
      </c>
    </row>
    <row r="11" spans="1:25" ht="17.25" customHeight="1" x14ac:dyDescent="0.2">
      <c r="A11" s="1" t="s">
        <v>175</v>
      </c>
      <c r="B11" s="4">
        <v>0</v>
      </c>
      <c r="C11" s="4">
        <v>1</v>
      </c>
      <c r="D11" s="4">
        <v>1</v>
      </c>
      <c r="E11" s="4">
        <v>1</v>
      </c>
      <c r="F11" s="4">
        <v>0</v>
      </c>
      <c r="G11" s="4">
        <v>0</v>
      </c>
      <c r="H11" s="4">
        <v>0</v>
      </c>
      <c r="I11" s="4">
        <v>0</v>
      </c>
      <c r="J11" s="4">
        <v>1</v>
      </c>
      <c r="K11" s="4">
        <v>0</v>
      </c>
      <c r="L11" s="4">
        <v>1</v>
      </c>
      <c r="M11" s="4">
        <v>1</v>
      </c>
      <c r="N11" s="4">
        <v>0</v>
      </c>
      <c r="O11" s="4">
        <v>1</v>
      </c>
      <c r="P11" s="4">
        <v>0</v>
      </c>
      <c r="Q11" s="4">
        <v>1</v>
      </c>
      <c r="R11" s="4">
        <v>0</v>
      </c>
      <c r="S11" s="4">
        <v>0</v>
      </c>
      <c r="T11" s="4">
        <v>1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</row>
    <row r="12" spans="1:25" ht="17.25" customHeight="1" x14ac:dyDescent="0.2">
      <c r="A12" s="1" t="s">
        <v>176</v>
      </c>
      <c r="B12" s="4">
        <v>0</v>
      </c>
      <c r="C12" s="4">
        <v>0</v>
      </c>
      <c r="D12" s="4">
        <v>1</v>
      </c>
      <c r="E12" s="4">
        <v>1</v>
      </c>
      <c r="F12" s="4">
        <v>1</v>
      </c>
      <c r="G12" s="4">
        <v>0</v>
      </c>
      <c r="H12" s="4">
        <v>1</v>
      </c>
      <c r="I12" s="4">
        <v>0</v>
      </c>
      <c r="J12" s="4">
        <v>0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0</v>
      </c>
      <c r="S12" s="4">
        <v>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</row>
    <row r="13" spans="1:25" ht="17.25" customHeight="1" x14ac:dyDescent="0.2">
      <c r="A13" s="1" t="s">
        <v>177</v>
      </c>
      <c r="B13" s="4">
        <v>0</v>
      </c>
      <c r="C13" s="4">
        <v>1</v>
      </c>
      <c r="D13" s="4">
        <v>1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0</v>
      </c>
      <c r="M13" s="4">
        <v>1</v>
      </c>
      <c r="N13" s="4">
        <v>1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1</v>
      </c>
      <c r="V13" s="4">
        <v>1</v>
      </c>
      <c r="W13" s="4">
        <v>1</v>
      </c>
      <c r="X13" s="4">
        <v>0</v>
      </c>
      <c r="Y13" s="4">
        <v>0</v>
      </c>
    </row>
    <row r="14" spans="1:25" ht="17.25" customHeight="1" x14ac:dyDescent="0.2">
      <c r="A14" s="1" t="s">
        <v>178</v>
      </c>
      <c r="B14" s="4">
        <v>0</v>
      </c>
      <c r="C14" s="4">
        <v>0</v>
      </c>
      <c r="D14" s="4">
        <v>1</v>
      </c>
      <c r="E14" s="4">
        <v>1</v>
      </c>
      <c r="F14" s="4">
        <v>1</v>
      </c>
      <c r="G14" s="4">
        <v>0</v>
      </c>
      <c r="H14" s="4">
        <v>1</v>
      </c>
      <c r="I14" s="4">
        <v>1</v>
      </c>
      <c r="J14" s="4">
        <v>1</v>
      </c>
      <c r="K14" s="4">
        <v>0</v>
      </c>
      <c r="L14" s="4">
        <v>0</v>
      </c>
      <c r="M14" s="4">
        <v>1</v>
      </c>
      <c r="N14" s="4">
        <v>1</v>
      </c>
      <c r="O14" s="4">
        <v>0</v>
      </c>
      <c r="P14" s="4">
        <v>1</v>
      </c>
      <c r="Q14" s="4">
        <v>0</v>
      </c>
      <c r="R14" s="4">
        <v>1</v>
      </c>
      <c r="S14" s="4">
        <v>0</v>
      </c>
      <c r="T14" s="4">
        <v>0</v>
      </c>
      <c r="U14" s="4">
        <v>1</v>
      </c>
      <c r="V14" s="4">
        <v>1</v>
      </c>
      <c r="W14" s="4">
        <v>1</v>
      </c>
      <c r="X14" s="4">
        <v>0</v>
      </c>
      <c r="Y14" s="4">
        <v>0</v>
      </c>
    </row>
    <row r="15" spans="1:25" ht="17.25" customHeight="1" x14ac:dyDescent="0.2">
      <c r="A15" s="1" t="s">
        <v>179</v>
      </c>
      <c r="B15" s="4">
        <v>0</v>
      </c>
      <c r="C15" s="4">
        <v>1</v>
      </c>
      <c r="D15" s="4">
        <v>1</v>
      </c>
      <c r="E15" s="4">
        <v>1</v>
      </c>
      <c r="F15" s="4">
        <v>1</v>
      </c>
      <c r="G15" s="4">
        <v>0</v>
      </c>
      <c r="H15" s="4">
        <v>0</v>
      </c>
      <c r="I15" s="4">
        <v>1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  <c r="O15" s="4">
        <v>1</v>
      </c>
      <c r="P15" s="4">
        <v>0</v>
      </c>
      <c r="Q15" s="4">
        <v>1</v>
      </c>
      <c r="R15" s="4">
        <v>0</v>
      </c>
      <c r="S15" s="4">
        <v>1</v>
      </c>
      <c r="T15" s="4">
        <v>1</v>
      </c>
      <c r="U15" s="4">
        <v>1</v>
      </c>
      <c r="V15" s="4">
        <v>0</v>
      </c>
      <c r="W15" s="4">
        <v>0</v>
      </c>
      <c r="X15" s="4">
        <v>0</v>
      </c>
      <c r="Y15" s="4">
        <v>0</v>
      </c>
    </row>
    <row r="16" spans="1:25" ht="17.25" customHeight="1" x14ac:dyDescent="0.2">
      <c r="A16" s="1" t="s">
        <v>180</v>
      </c>
      <c r="B16" s="4">
        <v>0</v>
      </c>
      <c r="C16" s="4">
        <v>1</v>
      </c>
      <c r="D16" s="4">
        <v>1</v>
      </c>
      <c r="E16" s="4">
        <v>0</v>
      </c>
      <c r="F16" s="4">
        <v>1</v>
      </c>
      <c r="G16" s="4">
        <v>0</v>
      </c>
      <c r="H16" s="4">
        <v>1</v>
      </c>
      <c r="I16" s="4">
        <v>0</v>
      </c>
      <c r="J16" s="4">
        <v>0</v>
      </c>
      <c r="K16" s="4">
        <v>1</v>
      </c>
      <c r="L16" s="4">
        <v>1</v>
      </c>
      <c r="M16" s="4">
        <v>0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</row>
    <row r="17" spans="1:25" ht="17.25" customHeight="1" x14ac:dyDescent="0.2">
      <c r="A17" s="1" t="s">
        <v>181</v>
      </c>
      <c r="B17" s="4">
        <v>0</v>
      </c>
      <c r="C17" s="4">
        <v>0</v>
      </c>
      <c r="D17" s="4">
        <v>1</v>
      </c>
      <c r="E17" s="4">
        <v>1</v>
      </c>
      <c r="F17" s="4">
        <v>1</v>
      </c>
      <c r="G17" s="4">
        <v>1</v>
      </c>
      <c r="H17" s="4">
        <v>0</v>
      </c>
      <c r="I17" s="4">
        <v>0</v>
      </c>
      <c r="J17" s="4">
        <v>1</v>
      </c>
      <c r="K17" s="4">
        <v>0</v>
      </c>
      <c r="L17" s="4">
        <v>1</v>
      </c>
      <c r="M17" s="4">
        <v>1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4">
        <v>1</v>
      </c>
      <c r="T17" s="4">
        <v>1</v>
      </c>
      <c r="U17" s="4">
        <v>1</v>
      </c>
      <c r="V17" s="4">
        <v>0</v>
      </c>
      <c r="W17" s="4">
        <v>0</v>
      </c>
      <c r="X17" s="4">
        <v>0</v>
      </c>
      <c r="Y17" s="4">
        <v>0</v>
      </c>
    </row>
    <row r="18" spans="1:25" ht="17.25" customHeight="1" x14ac:dyDescent="0.2">
      <c r="A18" s="1" t="s">
        <v>182</v>
      </c>
      <c r="B18" s="4">
        <v>0</v>
      </c>
      <c r="C18" s="4">
        <v>0</v>
      </c>
      <c r="D18" s="4">
        <v>0</v>
      </c>
      <c r="E18" s="4">
        <v>1</v>
      </c>
      <c r="F18" s="4">
        <v>1</v>
      </c>
      <c r="G18" s="4">
        <v>1</v>
      </c>
      <c r="H18" s="4">
        <v>0</v>
      </c>
      <c r="I18" s="4">
        <v>0</v>
      </c>
      <c r="J18" s="4">
        <v>1</v>
      </c>
      <c r="K18" s="4">
        <v>1</v>
      </c>
      <c r="L18" s="4">
        <v>0</v>
      </c>
      <c r="M18" s="4">
        <v>1</v>
      </c>
      <c r="N18" s="4">
        <v>1</v>
      </c>
      <c r="O18" s="4">
        <v>0</v>
      </c>
      <c r="P18" s="4">
        <v>0</v>
      </c>
      <c r="Q18" s="4">
        <v>0</v>
      </c>
      <c r="R18" s="4">
        <v>0</v>
      </c>
      <c r="S18" s="4">
        <v>1</v>
      </c>
      <c r="T18" s="4">
        <v>0</v>
      </c>
      <c r="U18" s="4">
        <v>1</v>
      </c>
      <c r="V18" s="4">
        <v>1</v>
      </c>
      <c r="W18" s="4">
        <v>1</v>
      </c>
      <c r="X18" s="4">
        <v>0</v>
      </c>
      <c r="Y18" s="4">
        <v>0</v>
      </c>
    </row>
    <row r="19" spans="1:25" ht="17.25" customHeight="1" x14ac:dyDescent="0.2">
      <c r="A19" s="1" t="s">
        <v>183</v>
      </c>
      <c r="B19" s="4">
        <v>0</v>
      </c>
      <c r="C19" s="4">
        <v>0</v>
      </c>
      <c r="D19" s="4">
        <v>1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4">
        <v>1</v>
      </c>
      <c r="K19" s="4">
        <v>0</v>
      </c>
      <c r="L19" s="4">
        <v>0</v>
      </c>
      <c r="M19" s="4">
        <v>1</v>
      </c>
      <c r="N19" s="4">
        <v>0</v>
      </c>
      <c r="O19" s="4">
        <v>0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1</v>
      </c>
      <c r="W19" s="4">
        <v>0</v>
      </c>
      <c r="X19" s="4">
        <v>0</v>
      </c>
      <c r="Y19" s="4">
        <v>0</v>
      </c>
    </row>
    <row r="20" spans="1:25" ht="17.25" customHeight="1" x14ac:dyDescent="0.2">
      <c r="A20" s="1" t="s">
        <v>184</v>
      </c>
      <c r="B20" s="4">
        <v>0</v>
      </c>
      <c r="C20" s="4">
        <v>0</v>
      </c>
      <c r="D20" s="4">
        <v>1</v>
      </c>
      <c r="E20" s="4">
        <v>1</v>
      </c>
      <c r="F20" s="4">
        <v>1</v>
      </c>
      <c r="G20" s="4">
        <v>1</v>
      </c>
      <c r="H20" s="4">
        <v>0</v>
      </c>
      <c r="I20" s="4">
        <v>0</v>
      </c>
      <c r="J20" s="4">
        <v>1</v>
      </c>
      <c r="K20" s="4">
        <v>1</v>
      </c>
      <c r="L20" s="4">
        <v>1</v>
      </c>
      <c r="M20" s="4">
        <v>1</v>
      </c>
      <c r="N20" s="4">
        <v>0</v>
      </c>
      <c r="O20" s="4">
        <v>1</v>
      </c>
      <c r="P20" s="4">
        <v>0</v>
      </c>
      <c r="Q20" s="4">
        <v>1</v>
      </c>
      <c r="R20" s="4">
        <v>0</v>
      </c>
      <c r="S20" s="4">
        <v>1</v>
      </c>
      <c r="T20" s="4">
        <v>1</v>
      </c>
      <c r="U20" s="4">
        <v>0</v>
      </c>
      <c r="V20" s="4">
        <v>1</v>
      </c>
      <c r="W20" s="4">
        <v>1</v>
      </c>
      <c r="X20" s="4">
        <v>0</v>
      </c>
      <c r="Y20" s="4">
        <v>0</v>
      </c>
    </row>
    <row r="21" spans="1:25" ht="17.25" customHeight="1" x14ac:dyDescent="0.2">
      <c r="A21" s="1" t="s">
        <v>185</v>
      </c>
      <c r="B21" s="4">
        <v>0</v>
      </c>
      <c r="C21" s="4">
        <v>1</v>
      </c>
      <c r="D21" s="4">
        <v>1</v>
      </c>
      <c r="E21" s="4">
        <v>1</v>
      </c>
      <c r="F21" s="4">
        <v>0</v>
      </c>
      <c r="G21" s="4">
        <v>1</v>
      </c>
      <c r="H21" s="4">
        <v>0</v>
      </c>
      <c r="I21" s="4">
        <v>1</v>
      </c>
      <c r="J21" s="4">
        <v>1</v>
      </c>
      <c r="K21" s="4">
        <v>0</v>
      </c>
      <c r="L21" s="4">
        <v>0</v>
      </c>
      <c r="M21" s="4">
        <v>1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0</v>
      </c>
      <c r="T21" s="4">
        <v>1</v>
      </c>
      <c r="U21" s="4">
        <v>1</v>
      </c>
      <c r="V21" s="4">
        <v>0</v>
      </c>
      <c r="W21" s="4">
        <v>0</v>
      </c>
      <c r="X21" s="4">
        <v>0</v>
      </c>
      <c r="Y21" s="4">
        <v>0</v>
      </c>
    </row>
    <row r="22" spans="1:25" ht="17.25" customHeight="1" x14ac:dyDescent="0.2">
      <c r="A22" s="1" t="s">
        <v>186</v>
      </c>
      <c r="B22" s="4">
        <v>0</v>
      </c>
      <c r="C22" s="4">
        <v>1</v>
      </c>
      <c r="D22" s="4">
        <v>1</v>
      </c>
      <c r="E22" s="4">
        <v>1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</v>
      </c>
      <c r="N22" s="4">
        <v>1</v>
      </c>
      <c r="O22" s="4">
        <v>1</v>
      </c>
      <c r="P22" s="4">
        <v>1</v>
      </c>
      <c r="Q22" s="4">
        <v>0</v>
      </c>
      <c r="R22" s="4">
        <v>0</v>
      </c>
      <c r="S22" s="4">
        <v>1</v>
      </c>
      <c r="T22" s="4">
        <v>1</v>
      </c>
      <c r="U22" s="4">
        <v>1</v>
      </c>
      <c r="V22" s="4">
        <v>0</v>
      </c>
      <c r="W22" s="4">
        <v>0</v>
      </c>
      <c r="X22" s="4">
        <v>1</v>
      </c>
      <c r="Y22" s="4">
        <v>0</v>
      </c>
    </row>
    <row r="23" spans="1:25" ht="17.25" customHeight="1" x14ac:dyDescent="0.2">
      <c r="A23" s="1" t="s">
        <v>187</v>
      </c>
      <c r="B23" s="4">
        <v>0</v>
      </c>
      <c r="C23" s="4">
        <v>0</v>
      </c>
      <c r="D23" s="4">
        <v>1</v>
      </c>
      <c r="E23" s="4">
        <v>1</v>
      </c>
      <c r="F23" s="4">
        <v>1</v>
      </c>
      <c r="G23" s="4">
        <v>0</v>
      </c>
      <c r="H23" s="4">
        <v>1</v>
      </c>
      <c r="I23" s="4">
        <v>1</v>
      </c>
      <c r="J23" s="4">
        <v>0</v>
      </c>
      <c r="K23" s="4">
        <v>1</v>
      </c>
      <c r="L23" s="4">
        <v>0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0</v>
      </c>
      <c r="S23" s="4">
        <v>1</v>
      </c>
      <c r="T23" s="4">
        <v>0</v>
      </c>
      <c r="U23" s="4">
        <v>1</v>
      </c>
      <c r="V23" s="4">
        <v>1</v>
      </c>
      <c r="W23" s="4">
        <v>1</v>
      </c>
      <c r="X23" s="4">
        <v>0</v>
      </c>
      <c r="Y23" s="4">
        <v>0</v>
      </c>
    </row>
    <row r="24" spans="1:25" ht="17.25" customHeight="1" x14ac:dyDescent="0.2">
      <c r="A24" s="1" t="s">
        <v>188</v>
      </c>
      <c r="B24" s="4">
        <v>0</v>
      </c>
      <c r="C24" s="4">
        <v>1</v>
      </c>
      <c r="D24" s="4">
        <v>1</v>
      </c>
      <c r="E24" s="4">
        <v>1</v>
      </c>
      <c r="F24" s="4">
        <v>0</v>
      </c>
      <c r="G24" s="4">
        <v>1</v>
      </c>
      <c r="H24" s="4">
        <v>0</v>
      </c>
      <c r="I24" s="4">
        <v>0</v>
      </c>
      <c r="J24" s="4">
        <v>0</v>
      </c>
      <c r="K24" s="4">
        <v>1</v>
      </c>
      <c r="L24" s="4">
        <v>0</v>
      </c>
      <c r="M24" s="4">
        <v>1</v>
      </c>
      <c r="N24" s="4">
        <v>1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</row>
    <row r="25" spans="1:25" ht="17.25" customHeight="1" x14ac:dyDescent="0.2">
      <c r="A25" s="1" t="s">
        <v>189</v>
      </c>
      <c r="B25" s="4">
        <v>0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0</v>
      </c>
      <c r="J25" s="4">
        <v>0</v>
      </c>
      <c r="K25" s="4">
        <v>1</v>
      </c>
      <c r="L25" s="4">
        <v>1</v>
      </c>
      <c r="M25" s="4">
        <v>0</v>
      </c>
      <c r="N25" s="4">
        <v>0</v>
      </c>
      <c r="O25" s="4">
        <v>0</v>
      </c>
      <c r="P25" s="4">
        <v>0</v>
      </c>
      <c r="Q25" s="4">
        <v>1</v>
      </c>
      <c r="R25" s="4">
        <v>0</v>
      </c>
      <c r="S25" s="4">
        <v>0</v>
      </c>
      <c r="T25" s="4">
        <v>0</v>
      </c>
      <c r="U25" s="4">
        <v>1</v>
      </c>
      <c r="V25" s="4">
        <v>0</v>
      </c>
      <c r="W25" s="4">
        <v>0</v>
      </c>
      <c r="X25" s="4">
        <v>1</v>
      </c>
      <c r="Y25" s="4">
        <v>0</v>
      </c>
    </row>
    <row r="26" spans="1:25" ht="17.25" customHeight="1" x14ac:dyDescent="0.2">
      <c r="A26" s="1" t="s">
        <v>190</v>
      </c>
      <c r="B26" s="4">
        <v>0</v>
      </c>
      <c r="C26" s="4">
        <v>0</v>
      </c>
      <c r="D26" s="4">
        <v>1</v>
      </c>
      <c r="E26" s="4">
        <v>1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0</v>
      </c>
      <c r="Y26" s="4">
        <v>0</v>
      </c>
    </row>
    <row r="27" spans="1:25" ht="17.25" customHeight="1" x14ac:dyDescent="0.2">
      <c r="A27" s="1" t="s">
        <v>191</v>
      </c>
      <c r="B27" s="4">
        <v>0</v>
      </c>
      <c r="C27" s="4">
        <v>1</v>
      </c>
      <c r="D27" s="4">
        <v>0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</v>
      </c>
      <c r="M27" s="4">
        <v>0</v>
      </c>
      <c r="N27" s="4">
        <v>0</v>
      </c>
      <c r="O27" s="4">
        <v>0</v>
      </c>
      <c r="P27" s="4">
        <v>1</v>
      </c>
      <c r="Q27" s="4">
        <v>0</v>
      </c>
      <c r="R27" s="4">
        <v>1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</row>
    <row r="28" spans="1:25" ht="17.25" customHeight="1" x14ac:dyDescent="0.2">
      <c r="A28" s="1" t="s">
        <v>192</v>
      </c>
      <c r="B28" s="4">
        <v>0</v>
      </c>
      <c r="C28" s="4">
        <v>1</v>
      </c>
      <c r="D28" s="4">
        <v>1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v>1</v>
      </c>
      <c r="K28" s="4">
        <v>0</v>
      </c>
      <c r="L28" s="4">
        <v>1</v>
      </c>
      <c r="M28" s="4">
        <v>1</v>
      </c>
      <c r="N28" s="4">
        <v>0</v>
      </c>
      <c r="O28" s="4">
        <v>0</v>
      </c>
      <c r="P28" s="4">
        <v>0</v>
      </c>
      <c r="Q28" s="4">
        <v>0</v>
      </c>
      <c r="R28" s="4">
        <v>1</v>
      </c>
      <c r="S28" s="4">
        <v>0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</row>
    <row r="29" spans="1:25" ht="17.25" customHeight="1" x14ac:dyDescent="0.2">
      <c r="A29" s="1" t="s">
        <v>193</v>
      </c>
      <c r="B29" s="4">
        <v>0</v>
      </c>
      <c r="C29" s="4">
        <v>1</v>
      </c>
      <c r="D29" s="4">
        <v>0</v>
      </c>
      <c r="E29" s="4">
        <v>1</v>
      </c>
      <c r="F29" s="4">
        <v>1</v>
      </c>
      <c r="G29" s="4">
        <v>0</v>
      </c>
      <c r="H29" s="4">
        <v>1</v>
      </c>
      <c r="I29" s="4">
        <v>0</v>
      </c>
      <c r="J29" s="4">
        <v>1</v>
      </c>
      <c r="K29" s="4">
        <v>1</v>
      </c>
      <c r="L29" s="4">
        <v>0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0</v>
      </c>
    </row>
    <row r="30" spans="1:25" ht="17.25" customHeight="1" x14ac:dyDescent="0.2">
      <c r="A30" s="1" t="s">
        <v>194</v>
      </c>
      <c r="B30" s="4">
        <v>0</v>
      </c>
      <c r="C30" s="4">
        <v>0</v>
      </c>
      <c r="D30" s="4">
        <v>0</v>
      </c>
      <c r="E30" s="4">
        <v>1</v>
      </c>
      <c r="F30" s="4">
        <v>1</v>
      </c>
      <c r="G30" s="4">
        <v>1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1</v>
      </c>
      <c r="O30" s="4">
        <v>0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0</v>
      </c>
      <c r="W30" s="4">
        <v>1</v>
      </c>
      <c r="X30" s="4">
        <v>0</v>
      </c>
      <c r="Y30" s="4">
        <v>0</v>
      </c>
    </row>
    <row r="31" spans="1:25" ht="17.25" customHeight="1" x14ac:dyDescent="0.2">
      <c r="A31" s="1" t="s">
        <v>195</v>
      </c>
      <c r="B31" s="4">
        <v>0</v>
      </c>
      <c r="C31" s="4">
        <v>1</v>
      </c>
      <c r="D31" s="4">
        <v>1</v>
      </c>
      <c r="E31" s="4">
        <v>0</v>
      </c>
      <c r="F31" s="4">
        <v>1</v>
      </c>
      <c r="G31" s="4">
        <v>0</v>
      </c>
      <c r="H31" s="4">
        <v>1</v>
      </c>
      <c r="I31" s="4">
        <v>0</v>
      </c>
      <c r="J31" s="4">
        <v>1</v>
      </c>
      <c r="K31" s="4">
        <v>1</v>
      </c>
      <c r="L31" s="4">
        <v>1</v>
      </c>
      <c r="M31" s="4">
        <v>0</v>
      </c>
      <c r="N31" s="4">
        <v>0</v>
      </c>
      <c r="O31" s="4">
        <v>0</v>
      </c>
      <c r="P31" s="4">
        <v>1</v>
      </c>
      <c r="Q31" s="4">
        <v>0</v>
      </c>
      <c r="R31" s="4">
        <v>0</v>
      </c>
      <c r="S31" s="4">
        <v>0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0</v>
      </c>
    </row>
    <row r="32" spans="1:25" ht="17.25" customHeight="1" x14ac:dyDescent="0.2">
      <c r="A32" s="1" t="s">
        <v>196</v>
      </c>
      <c r="B32" s="4">
        <v>0</v>
      </c>
      <c r="C32" s="4">
        <v>0</v>
      </c>
      <c r="D32" s="4">
        <v>0</v>
      </c>
      <c r="E32" s="4">
        <v>1</v>
      </c>
      <c r="F32" s="4">
        <v>0</v>
      </c>
      <c r="G32" s="4">
        <v>1</v>
      </c>
      <c r="H32" s="4">
        <v>0</v>
      </c>
      <c r="I32" s="4">
        <v>0</v>
      </c>
      <c r="J32" s="4">
        <v>1</v>
      </c>
      <c r="K32" s="4">
        <v>0</v>
      </c>
      <c r="L32" s="4">
        <v>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1</v>
      </c>
      <c r="U32" s="4">
        <v>1</v>
      </c>
      <c r="V32" s="4">
        <v>0</v>
      </c>
      <c r="W32" s="4">
        <v>0</v>
      </c>
      <c r="X32" s="4">
        <v>1</v>
      </c>
      <c r="Y32" s="4">
        <v>0</v>
      </c>
    </row>
    <row r="33" spans="1:25" ht="17.25" customHeight="1" x14ac:dyDescent="0.2">
      <c r="A33" s="1" t="s">
        <v>197</v>
      </c>
      <c r="B33" s="4">
        <v>0</v>
      </c>
      <c r="C33" s="4">
        <v>0</v>
      </c>
      <c r="D33" s="4">
        <v>1</v>
      </c>
      <c r="E33" s="4">
        <v>1</v>
      </c>
      <c r="F33" s="4">
        <v>1</v>
      </c>
      <c r="G33" s="4">
        <v>0</v>
      </c>
      <c r="H33" s="4">
        <v>0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0</v>
      </c>
      <c r="O33" s="4">
        <v>1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</v>
      </c>
      <c r="V33" s="4">
        <v>0</v>
      </c>
      <c r="W33" s="4">
        <v>0</v>
      </c>
      <c r="X33" s="4">
        <v>1</v>
      </c>
      <c r="Y33" s="4">
        <v>0</v>
      </c>
    </row>
    <row r="34" spans="1:25" ht="17.25" customHeight="1" x14ac:dyDescent="0.2">
      <c r="A34" s="1" t="s">
        <v>198</v>
      </c>
      <c r="B34" s="4">
        <v>0</v>
      </c>
      <c r="C34" s="4">
        <v>0</v>
      </c>
      <c r="D34" s="4">
        <v>0</v>
      </c>
      <c r="E34" s="4">
        <v>1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1</v>
      </c>
      <c r="U34" s="4">
        <v>1</v>
      </c>
      <c r="V34" s="4">
        <v>0</v>
      </c>
      <c r="W34" s="4">
        <v>1</v>
      </c>
      <c r="X34" s="4">
        <v>1</v>
      </c>
      <c r="Y34" s="4">
        <v>0</v>
      </c>
    </row>
    <row r="35" spans="1:25" ht="17.25" customHeight="1" x14ac:dyDescent="0.2">
      <c r="A35" s="1" t="s">
        <v>199</v>
      </c>
      <c r="B35" s="4">
        <v>0</v>
      </c>
      <c r="C35" s="4">
        <v>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1</v>
      </c>
      <c r="J35" s="4">
        <v>0</v>
      </c>
      <c r="K35" s="4">
        <v>1</v>
      </c>
      <c r="L35" s="4">
        <v>1</v>
      </c>
      <c r="M35" s="4">
        <v>0</v>
      </c>
      <c r="N35" s="4">
        <v>0</v>
      </c>
      <c r="O35" s="4">
        <v>1</v>
      </c>
      <c r="P35" s="4">
        <v>0</v>
      </c>
      <c r="Q35" s="4">
        <v>0</v>
      </c>
      <c r="R35" s="4">
        <v>1</v>
      </c>
      <c r="S35" s="4">
        <v>1</v>
      </c>
      <c r="T35" s="4">
        <v>0</v>
      </c>
      <c r="U35" s="4">
        <v>1</v>
      </c>
      <c r="V35" s="4">
        <v>0</v>
      </c>
      <c r="W35" s="4">
        <v>0</v>
      </c>
      <c r="X35" s="4">
        <v>0</v>
      </c>
      <c r="Y35" s="4">
        <v>0</v>
      </c>
    </row>
    <row r="36" spans="1:25" ht="17.25" customHeight="1" x14ac:dyDescent="0.2">
      <c r="A36" s="1" t="s">
        <v>200</v>
      </c>
      <c r="B36" s="4">
        <v>0</v>
      </c>
      <c r="C36" s="4">
        <v>1</v>
      </c>
      <c r="D36" s="4">
        <v>1</v>
      </c>
      <c r="E36" s="4">
        <v>1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1</v>
      </c>
      <c r="O36" s="4">
        <v>1</v>
      </c>
      <c r="P36" s="4">
        <v>0</v>
      </c>
      <c r="Q36" s="4">
        <v>0</v>
      </c>
      <c r="R36" s="4">
        <v>0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0</v>
      </c>
      <c r="Y36" s="4">
        <v>0</v>
      </c>
    </row>
    <row r="37" spans="1:25" ht="17.25" customHeight="1" x14ac:dyDescent="0.2">
      <c r="A37" s="1" t="s">
        <v>201</v>
      </c>
      <c r="B37" s="4">
        <v>0</v>
      </c>
      <c r="C37" s="4">
        <v>0</v>
      </c>
      <c r="D37" s="4">
        <v>1</v>
      </c>
      <c r="E37" s="4">
        <v>0</v>
      </c>
      <c r="F37" s="4">
        <v>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</v>
      </c>
      <c r="M37" s="4">
        <v>1</v>
      </c>
      <c r="N37" s="4">
        <v>0</v>
      </c>
      <c r="O37" s="4">
        <v>1</v>
      </c>
      <c r="P37" s="4">
        <v>0</v>
      </c>
      <c r="Q37" s="4">
        <v>0</v>
      </c>
      <c r="R37" s="4">
        <v>0</v>
      </c>
      <c r="S37" s="4">
        <v>0</v>
      </c>
      <c r="T37" s="4">
        <v>1</v>
      </c>
      <c r="U37" s="4">
        <v>0</v>
      </c>
      <c r="V37" s="4">
        <v>0</v>
      </c>
      <c r="W37" s="4">
        <v>1</v>
      </c>
      <c r="X37" s="4">
        <v>1</v>
      </c>
      <c r="Y37" s="4">
        <v>0</v>
      </c>
    </row>
    <row r="38" spans="1:25" ht="17.25" customHeight="1" x14ac:dyDescent="0.2">
      <c r="A38" s="1" t="s">
        <v>202</v>
      </c>
      <c r="B38" s="4">
        <v>0</v>
      </c>
      <c r="C38" s="4">
        <v>0</v>
      </c>
      <c r="D38" s="4">
        <v>1</v>
      </c>
      <c r="E38" s="4">
        <v>1</v>
      </c>
      <c r="F38" s="4">
        <v>1</v>
      </c>
      <c r="G38" s="4">
        <v>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</v>
      </c>
      <c r="Q38" s="4">
        <v>0</v>
      </c>
      <c r="R38" s="4">
        <v>0</v>
      </c>
      <c r="S38" s="4">
        <v>1</v>
      </c>
      <c r="T38" s="4">
        <v>1</v>
      </c>
      <c r="U38" s="4">
        <v>1</v>
      </c>
      <c r="V38" s="4">
        <v>1</v>
      </c>
      <c r="W38" s="4">
        <v>0</v>
      </c>
      <c r="X38" s="4">
        <v>0</v>
      </c>
      <c r="Y38" s="4">
        <v>0</v>
      </c>
    </row>
    <row r="39" spans="1:25" ht="17.25" customHeight="1" x14ac:dyDescent="0.2">
      <c r="A39" s="1" t="s">
        <v>203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</v>
      </c>
      <c r="I39" s="4">
        <v>0</v>
      </c>
      <c r="J39" s="4">
        <v>1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1</v>
      </c>
      <c r="S39" s="4">
        <v>0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0</v>
      </c>
    </row>
    <row r="40" spans="1:25" ht="17.25" customHeight="1" x14ac:dyDescent="0.2">
      <c r="A40" s="1" t="s">
        <v>204</v>
      </c>
      <c r="B40" s="4">
        <v>0</v>
      </c>
      <c r="C40" s="4">
        <v>1</v>
      </c>
      <c r="D40" s="4">
        <v>1</v>
      </c>
      <c r="E40" s="4">
        <v>1</v>
      </c>
      <c r="F40" s="4">
        <v>0</v>
      </c>
      <c r="G40" s="4">
        <v>1</v>
      </c>
      <c r="H40" s="4">
        <v>0</v>
      </c>
      <c r="I40" s="4">
        <v>0</v>
      </c>
      <c r="J40" s="4">
        <v>1</v>
      </c>
      <c r="K40" s="4">
        <v>0</v>
      </c>
      <c r="L40" s="4">
        <v>1</v>
      </c>
      <c r="M40" s="4">
        <v>0</v>
      </c>
      <c r="N40" s="4">
        <v>0</v>
      </c>
      <c r="O40" s="4">
        <v>1</v>
      </c>
      <c r="P40" s="4">
        <v>0</v>
      </c>
      <c r="Q40" s="4">
        <v>1</v>
      </c>
      <c r="R40" s="4">
        <v>1</v>
      </c>
      <c r="S40" s="4">
        <v>0</v>
      </c>
      <c r="T40" s="4">
        <v>1</v>
      </c>
      <c r="U40" s="4">
        <v>1</v>
      </c>
      <c r="V40" s="4">
        <v>0</v>
      </c>
      <c r="W40" s="4">
        <v>0</v>
      </c>
      <c r="X40" s="4">
        <v>0</v>
      </c>
      <c r="Y40" s="4">
        <v>0</v>
      </c>
    </row>
    <row r="41" spans="1:25" ht="17.25" customHeight="1" x14ac:dyDescent="0.2">
      <c r="A41" s="1" t="s">
        <v>205</v>
      </c>
      <c r="B41" s="4">
        <v>0</v>
      </c>
      <c r="C41" s="4">
        <v>1</v>
      </c>
      <c r="D41" s="4">
        <v>1</v>
      </c>
      <c r="E41" s="4">
        <v>1</v>
      </c>
      <c r="F41" s="4">
        <v>0</v>
      </c>
      <c r="G41" s="4">
        <v>1</v>
      </c>
      <c r="H41" s="4">
        <v>0</v>
      </c>
      <c r="I41" s="4">
        <v>0</v>
      </c>
      <c r="J41" s="4">
        <v>1</v>
      </c>
      <c r="K41" s="4">
        <v>0</v>
      </c>
      <c r="L41" s="4">
        <v>0</v>
      </c>
      <c r="M41" s="4">
        <v>0</v>
      </c>
      <c r="N41" s="4">
        <v>0</v>
      </c>
      <c r="O41" s="4">
        <v>1</v>
      </c>
      <c r="P41" s="4">
        <v>0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0</v>
      </c>
      <c r="W41" s="4">
        <v>0</v>
      </c>
      <c r="X41" s="4">
        <v>1</v>
      </c>
      <c r="Y41" s="4">
        <v>0</v>
      </c>
    </row>
    <row r="42" spans="1:25" ht="17.25" customHeight="1" x14ac:dyDescent="0.2">
      <c r="A42" s="1" t="s">
        <v>206</v>
      </c>
      <c r="B42" s="4">
        <v>0</v>
      </c>
      <c r="C42" s="4">
        <v>1</v>
      </c>
      <c r="D42" s="4">
        <v>1</v>
      </c>
      <c r="E42" s="4">
        <v>1</v>
      </c>
      <c r="F42" s="4">
        <v>0</v>
      </c>
      <c r="G42" s="4">
        <v>1</v>
      </c>
      <c r="H42" s="4">
        <v>0</v>
      </c>
      <c r="I42" s="4">
        <v>0</v>
      </c>
      <c r="J42" s="4">
        <v>1</v>
      </c>
      <c r="K42" s="4">
        <v>0</v>
      </c>
      <c r="L42" s="4">
        <v>1</v>
      </c>
      <c r="M42" s="4">
        <v>0</v>
      </c>
      <c r="N42" s="4">
        <v>0</v>
      </c>
      <c r="O42" s="4">
        <v>0</v>
      </c>
      <c r="P42" s="4">
        <v>1</v>
      </c>
      <c r="Q42" s="4">
        <v>0</v>
      </c>
      <c r="R42" s="4">
        <v>0</v>
      </c>
      <c r="S42" s="4">
        <v>1</v>
      </c>
      <c r="T42" s="4">
        <v>0</v>
      </c>
      <c r="U42" s="4">
        <v>1</v>
      </c>
      <c r="V42" s="4">
        <v>0</v>
      </c>
      <c r="W42" s="4">
        <v>1</v>
      </c>
      <c r="X42" s="4">
        <v>1</v>
      </c>
      <c r="Y42" s="4">
        <v>0</v>
      </c>
    </row>
    <row r="43" spans="1:25" ht="17.25" customHeight="1" x14ac:dyDescent="0.2">
      <c r="A43" s="1" t="s">
        <v>207</v>
      </c>
      <c r="B43" s="4">
        <v>0</v>
      </c>
      <c r="C43" s="4">
        <v>1</v>
      </c>
      <c r="D43" s="4">
        <v>1</v>
      </c>
      <c r="E43" s="4">
        <v>1</v>
      </c>
      <c r="F43" s="4">
        <v>0</v>
      </c>
      <c r="G43" s="4">
        <v>0</v>
      </c>
      <c r="H43" s="4">
        <v>1</v>
      </c>
      <c r="I43" s="4">
        <v>0</v>
      </c>
      <c r="J43" s="4">
        <v>0</v>
      </c>
      <c r="K43" s="4">
        <v>0</v>
      </c>
      <c r="L43" s="4">
        <v>1</v>
      </c>
      <c r="M43" s="4">
        <v>0</v>
      </c>
      <c r="N43" s="4">
        <v>1</v>
      </c>
      <c r="O43" s="4">
        <v>0</v>
      </c>
      <c r="P43" s="4">
        <v>1</v>
      </c>
      <c r="Q43" s="4">
        <v>1</v>
      </c>
      <c r="R43" s="4">
        <v>1</v>
      </c>
      <c r="S43" s="4">
        <v>1</v>
      </c>
      <c r="T43" s="4">
        <v>0</v>
      </c>
      <c r="U43" s="4">
        <v>0</v>
      </c>
      <c r="V43" s="4">
        <v>1</v>
      </c>
      <c r="W43" s="4">
        <v>0</v>
      </c>
      <c r="X43" s="4">
        <v>1</v>
      </c>
      <c r="Y43" s="4">
        <v>0</v>
      </c>
    </row>
    <row r="44" spans="1:25" ht="17.25" customHeight="1" x14ac:dyDescent="0.2">
      <c r="A44" s="1" t="s">
        <v>208</v>
      </c>
      <c r="B44" s="4">
        <v>0</v>
      </c>
      <c r="C44" s="4">
        <v>1</v>
      </c>
      <c r="D44" s="4">
        <v>0</v>
      </c>
      <c r="E44" s="4">
        <v>0</v>
      </c>
      <c r="F44" s="4">
        <v>1</v>
      </c>
      <c r="G44" s="4">
        <v>1</v>
      </c>
      <c r="H44" s="4">
        <v>0</v>
      </c>
      <c r="I44" s="4">
        <v>0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1</v>
      </c>
      <c r="U44" s="4">
        <v>0</v>
      </c>
      <c r="V44" s="4">
        <v>1</v>
      </c>
      <c r="W44" s="4">
        <v>1</v>
      </c>
      <c r="X44" s="4">
        <v>1</v>
      </c>
      <c r="Y44" s="4">
        <v>0</v>
      </c>
    </row>
    <row r="45" spans="1:25" ht="17.25" customHeight="1" x14ac:dyDescent="0.2">
      <c r="A45" s="1" t="s">
        <v>209</v>
      </c>
      <c r="B45" s="4">
        <v>0</v>
      </c>
      <c r="C45" s="4">
        <v>0</v>
      </c>
      <c r="D45" s="4">
        <v>1</v>
      </c>
      <c r="E45" s="4">
        <v>1</v>
      </c>
      <c r="F45" s="4">
        <v>0</v>
      </c>
      <c r="G45" s="4">
        <v>1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1</v>
      </c>
      <c r="P45" s="4">
        <v>0</v>
      </c>
      <c r="Q45" s="4">
        <v>0</v>
      </c>
      <c r="R45" s="4">
        <v>0</v>
      </c>
      <c r="S45" s="4">
        <v>0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0</v>
      </c>
    </row>
    <row r="46" spans="1:25" ht="17.25" customHeight="1" x14ac:dyDescent="0.2">
      <c r="A46" s="1" t="s">
        <v>210</v>
      </c>
      <c r="B46" s="4">
        <v>0</v>
      </c>
      <c r="C46" s="4">
        <v>1</v>
      </c>
      <c r="D46" s="4">
        <v>0</v>
      </c>
      <c r="E46" s="4">
        <v>1</v>
      </c>
      <c r="F46" s="4">
        <v>1</v>
      </c>
      <c r="G46" s="4">
        <v>0</v>
      </c>
      <c r="H46" s="4">
        <v>0</v>
      </c>
      <c r="I46" s="4">
        <v>1</v>
      </c>
      <c r="J46" s="4">
        <v>1</v>
      </c>
      <c r="K46" s="4">
        <v>1</v>
      </c>
      <c r="L46" s="4">
        <v>1</v>
      </c>
      <c r="M46" s="4">
        <v>0</v>
      </c>
      <c r="N46" s="4">
        <v>1</v>
      </c>
      <c r="O46" s="4">
        <v>0</v>
      </c>
      <c r="P46" s="4">
        <v>0</v>
      </c>
      <c r="Q46" s="4">
        <v>0</v>
      </c>
      <c r="R46" s="4">
        <v>0</v>
      </c>
      <c r="S46" s="4">
        <v>1</v>
      </c>
      <c r="T46" s="4">
        <v>0</v>
      </c>
      <c r="U46" s="4">
        <v>1</v>
      </c>
      <c r="V46" s="4">
        <v>0</v>
      </c>
      <c r="W46" s="4">
        <v>1</v>
      </c>
      <c r="X46" s="4">
        <v>0</v>
      </c>
      <c r="Y46" s="4">
        <v>0</v>
      </c>
    </row>
    <row r="47" spans="1:25" ht="17.25" customHeight="1" x14ac:dyDescent="0.2">
      <c r="A47" s="1" t="s">
        <v>211</v>
      </c>
      <c r="B47" s="4">
        <v>0</v>
      </c>
      <c r="C47" s="4">
        <v>1</v>
      </c>
      <c r="D47" s="4">
        <v>1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1</v>
      </c>
      <c r="O47" s="4">
        <v>1</v>
      </c>
      <c r="P47" s="4">
        <v>0</v>
      </c>
      <c r="Q47" s="4">
        <v>0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</row>
    <row r="48" spans="1:25" ht="17.25" customHeight="1" x14ac:dyDescent="0.2">
      <c r="A48" s="1" t="s">
        <v>212</v>
      </c>
      <c r="B48" s="4">
        <v>0</v>
      </c>
      <c r="C48" s="4">
        <v>1</v>
      </c>
      <c r="D48" s="4">
        <v>0</v>
      </c>
      <c r="E48" s="4">
        <v>1</v>
      </c>
      <c r="F48" s="4">
        <v>1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1</v>
      </c>
      <c r="O48" s="4">
        <v>0</v>
      </c>
      <c r="P48" s="4">
        <v>0</v>
      </c>
      <c r="Q48" s="4">
        <v>0</v>
      </c>
      <c r="R48" s="4">
        <v>0</v>
      </c>
      <c r="S48" s="4">
        <v>1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</row>
    <row r="49" spans="1:25" ht="17.25" customHeight="1" x14ac:dyDescent="0.2">
      <c r="A49" s="1" t="s">
        <v>213</v>
      </c>
      <c r="B49" s="4">
        <v>0</v>
      </c>
      <c r="C49" s="4">
        <v>1</v>
      </c>
      <c r="D49" s="4">
        <v>1</v>
      </c>
      <c r="E49" s="4">
        <v>0</v>
      </c>
      <c r="F49" s="4">
        <v>1</v>
      </c>
      <c r="G49" s="4">
        <v>0</v>
      </c>
      <c r="H49" s="4">
        <v>0</v>
      </c>
      <c r="I49" s="4">
        <v>0</v>
      </c>
      <c r="J49" s="4">
        <v>1</v>
      </c>
      <c r="K49" s="4">
        <v>0</v>
      </c>
      <c r="L49" s="4">
        <v>0</v>
      </c>
      <c r="M49" s="4">
        <v>1</v>
      </c>
      <c r="N49" s="4">
        <v>0</v>
      </c>
      <c r="O49" s="4">
        <v>0</v>
      </c>
      <c r="P49" s="4">
        <v>0</v>
      </c>
      <c r="Q49" s="4">
        <v>0</v>
      </c>
      <c r="R49" s="4">
        <v>1</v>
      </c>
      <c r="S49" s="4">
        <v>1</v>
      </c>
      <c r="T49" s="4">
        <v>0</v>
      </c>
      <c r="U49" s="4">
        <v>0</v>
      </c>
      <c r="V49" s="4">
        <v>1</v>
      </c>
      <c r="W49" s="4">
        <v>0</v>
      </c>
      <c r="X49" s="4">
        <v>0</v>
      </c>
      <c r="Y49" s="4">
        <v>0</v>
      </c>
    </row>
    <row r="50" spans="1:25" ht="17.25" customHeight="1" x14ac:dyDescent="0.2">
      <c r="A50" s="1" t="s">
        <v>214</v>
      </c>
      <c r="B50" s="4">
        <v>0</v>
      </c>
      <c r="C50" s="4">
        <v>1</v>
      </c>
      <c r="D50" s="4">
        <v>1</v>
      </c>
      <c r="E50" s="4">
        <v>1</v>
      </c>
      <c r="F50" s="4">
        <v>1</v>
      </c>
      <c r="G50" s="4">
        <v>0</v>
      </c>
      <c r="H50" s="4">
        <v>1</v>
      </c>
      <c r="I50" s="4">
        <v>0</v>
      </c>
      <c r="J50" s="4">
        <v>0</v>
      </c>
      <c r="K50" s="4">
        <v>1</v>
      </c>
      <c r="L50" s="4">
        <v>1</v>
      </c>
      <c r="M50" s="4">
        <v>0</v>
      </c>
      <c r="N50" s="4">
        <v>1</v>
      </c>
      <c r="O50" s="4">
        <v>0</v>
      </c>
      <c r="P50" s="4">
        <v>0</v>
      </c>
      <c r="Q50" s="4">
        <v>0</v>
      </c>
      <c r="R50" s="4">
        <v>0</v>
      </c>
      <c r="S50" s="4">
        <v>1</v>
      </c>
      <c r="T50" s="4">
        <v>0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</row>
    <row r="51" spans="1:25" ht="17.25" customHeight="1" x14ac:dyDescent="0.2">
      <c r="A51" s="1" t="s">
        <v>215</v>
      </c>
      <c r="B51" s="4">
        <v>0</v>
      </c>
      <c r="C51" s="4">
        <v>0</v>
      </c>
      <c r="D51" s="4">
        <v>1</v>
      </c>
      <c r="E51" s="4">
        <v>1</v>
      </c>
      <c r="F51" s="4">
        <v>0</v>
      </c>
      <c r="G51" s="4">
        <v>0</v>
      </c>
      <c r="H51" s="4">
        <v>0</v>
      </c>
      <c r="I51" s="4">
        <v>0</v>
      </c>
      <c r="J51" s="4">
        <v>1</v>
      </c>
      <c r="K51" s="4">
        <v>1</v>
      </c>
      <c r="L51" s="4">
        <v>1</v>
      </c>
      <c r="M51" s="4">
        <v>0</v>
      </c>
      <c r="N51" s="4">
        <v>1</v>
      </c>
      <c r="O51" s="4">
        <v>1</v>
      </c>
      <c r="P51" s="4">
        <v>0</v>
      </c>
      <c r="Q51" s="4">
        <v>0</v>
      </c>
      <c r="R51" s="4">
        <v>1</v>
      </c>
      <c r="S51" s="4">
        <v>0</v>
      </c>
      <c r="T51" s="4">
        <v>0</v>
      </c>
      <c r="U51" s="4">
        <v>1</v>
      </c>
      <c r="V51" s="4">
        <v>1</v>
      </c>
      <c r="W51" s="4">
        <v>0</v>
      </c>
      <c r="X51" s="4">
        <v>1</v>
      </c>
      <c r="Y51" s="4">
        <v>0</v>
      </c>
    </row>
    <row r="52" spans="1:25" ht="17.25" customHeight="1" x14ac:dyDescent="0.2">
      <c r="A52" s="1" t="s">
        <v>216</v>
      </c>
      <c r="B52" s="4">
        <v>0</v>
      </c>
      <c r="C52" s="4">
        <v>0</v>
      </c>
      <c r="D52" s="4">
        <v>1</v>
      </c>
      <c r="E52" s="4">
        <v>1</v>
      </c>
      <c r="F52" s="4">
        <v>1</v>
      </c>
      <c r="G52" s="4">
        <v>0</v>
      </c>
      <c r="H52" s="4">
        <v>0</v>
      </c>
      <c r="I52" s="4">
        <v>0</v>
      </c>
      <c r="J52" s="4">
        <v>1</v>
      </c>
      <c r="K52" s="4">
        <v>0</v>
      </c>
      <c r="L52" s="4">
        <v>0</v>
      </c>
      <c r="M52" s="4">
        <v>1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</v>
      </c>
      <c r="V52" s="4">
        <v>1</v>
      </c>
      <c r="W52" s="4">
        <v>1</v>
      </c>
      <c r="X52" s="4">
        <v>0</v>
      </c>
      <c r="Y52" s="4">
        <v>0</v>
      </c>
    </row>
    <row r="53" spans="1:25" ht="17.25" customHeight="1" x14ac:dyDescent="0.2">
      <c r="A53" s="1" t="s">
        <v>217</v>
      </c>
      <c r="B53" s="4">
        <v>0</v>
      </c>
      <c r="C53" s="4">
        <v>1</v>
      </c>
      <c r="D53" s="4">
        <v>1</v>
      </c>
      <c r="E53" s="4">
        <v>1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</v>
      </c>
      <c r="L53" s="4">
        <v>0</v>
      </c>
      <c r="M53" s="4">
        <v>0</v>
      </c>
      <c r="N53" s="4">
        <v>1</v>
      </c>
      <c r="O53" s="4">
        <v>0</v>
      </c>
      <c r="P53" s="4">
        <v>0</v>
      </c>
      <c r="Q53" s="4">
        <v>1</v>
      </c>
      <c r="R53" s="4">
        <v>1</v>
      </c>
      <c r="S53" s="4">
        <v>0</v>
      </c>
      <c r="T53" s="4">
        <v>1</v>
      </c>
      <c r="U53" s="4">
        <v>1</v>
      </c>
      <c r="V53" s="4">
        <v>0</v>
      </c>
      <c r="W53" s="4">
        <v>0</v>
      </c>
      <c r="X53" s="4">
        <v>0</v>
      </c>
      <c r="Y53" s="4">
        <v>0</v>
      </c>
    </row>
    <row r="54" spans="1:25" ht="17.25" customHeight="1" x14ac:dyDescent="0.2">
      <c r="A54" s="1" t="s">
        <v>218</v>
      </c>
      <c r="B54" s="4">
        <v>0</v>
      </c>
      <c r="C54" s="4">
        <v>1</v>
      </c>
      <c r="D54" s="4">
        <v>0</v>
      </c>
      <c r="E54" s="4">
        <v>0</v>
      </c>
      <c r="F54" s="4">
        <v>1</v>
      </c>
      <c r="G54" s="4">
        <v>0</v>
      </c>
      <c r="H54" s="4">
        <v>0</v>
      </c>
      <c r="I54" s="4">
        <v>0</v>
      </c>
      <c r="J54" s="4">
        <v>0</v>
      </c>
      <c r="K54" s="4">
        <v>1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1</v>
      </c>
      <c r="U54" s="4">
        <v>0</v>
      </c>
      <c r="V54" s="4">
        <v>1</v>
      </c>
      <c r="W54" s="4">
        <v>0</v>
      </c>
      <c r="X54" s="4">
        <v>0</v>
      </c>
      <c r="Y54" s="4">
        <v>0</v>
      </c>
    </row>
    <row r="55" spans="1:25" ht="17.25" customHeight="1" x14ac:dyDescent="0.2">
      <c r="A55" s="1" t="s">
        <v>219</v>
      </c>
      <c r="B55" s="4">
        <v>0</v>
      </c>
      <c r="C55" s="4">
        <v>0</v>
      </c>
      <c r="D55" s="4">
        <v>1</v>
      </c>
      <c r="E55" s="4">
        <v>1</v>
      </c>
      <c r="F55" s="4">
        <v>1</v>
      </c>
      <c r="G55" s="4">
        <v>1</v>
      </c>
      <c r="H55" s="4">
        <v>0</v>
      </c>
      <c r="I55" s="4">
        <v>0</v>
      </c>
      <c r="J55" s="4">
        <v>1</v>
      </c>
      <c r="K55" s="4">
        <v>0</v>
      </c>
      <c r="L55" s="4">
        <v>1</v>
      </c>
      <c r="M55" s="4">
        <v>1</v>
      </c>
      <c r="N55" s="4">
        <v>1</v>
      </c>
      <c r="O55" s="4">
        <v>1</v>
      </c>
      <c r="P55" s="4">
        <v>0</v>
      </c>
      <c r="Q55" s="4">
        <v>0</v>
      </c>
      <c r="R55" s="4">
        <v>1</v>
      </c>
      <c r="S55" s="4">
        <v>0</v>
      </c>
      <c r="T55" s="4">
        <v>0</v>
      </c>
      <c r="U55" s="4">
        <v>1</v>
      </c>
      <c r="V55" s="4">
        <v>1</v>
      </c>
      <c r="W55" s="4">
        <v>0</v>
      </c>
      <c r="X55" s="4">
        <v>0</v>
      </c>
      <c r="Y55" s="4">
        <v>0</v>
      </c>
    </row>
    <row r="56" spans="1:25" ht="17.25" customHeight="1" x14ac:dyDescent="0.2">
      <c r="A56" s="1" t="s">
        <v>220</v>
      </c>
      <c r="B56" s="4">
        <v>0</v>
      </c>
      <c r="C56" s="4">
        <v>0</v>
      </c>
      <c r="D56" s="4">
        <v>1</v>
      </c>
      <c r="E56" s="4">
        <v>1</v>
      </c>
      <c r="F56" s="4">
        <v>1</v>
      </c>
      <c r="G56" s="4">
        <v>0</v>
      </c>
      <c r="H56" s="4">
        <v>0</v>
      </c>
      <c r="I56" s="4">
        <v>0</v>
      </c>
      <c r="J56" s="4">
        <v>1</v>
      </c>
      <c r="K56" s="4">
        <v>0</v>
      </c>
      <c r="L56" s="4">
        <v>0</v>
      </c>
      <c r="M56" s="4">
        <v>0</v>
      </c>
      <c r="N56" s="4">
        <v>1</v>
      </c>
      <c r="O56" s="4">
        <v>1</v>
      </c>
      <c r="P56" s="4">
        <v>0</v>
      </c>
      <c r="Q56" s="4">
        <v>0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</row>
    <row r="57" spans="1:25" ht="17.25" customHeight="1" x14ac:dyDescent="0.2">
      <c r="A57" s="1" t="s">
        <v>221</v>
      </c>
      <c r="B57" s="4">
        <v>0</v>
      </c>
      <c r="C57" s="4">
        <v>1</v>
      </c>
      <c r="D57" s="4">
        <v>1</v>
      </c>
      <c r="E57" s="4">
        <v>1</v>
      </c>
      <c r="F57" s="4">
        <v>0</v>
      </c>
      <c r="G57" s="4">
        <v>1</v>
      </c>
      <c r="H57" s="4">
        <v>0</v>
      </c>
      <c r="I57" s="4">
        <v>0</v>
      </c>
      <c r="J57" s="4">
        <v>1</v>
      </c>
      <c r="K57" s="4">
        <v>1</v>
      </c>
      <c r="L57" s="4">
        <v>0</v>
      </c>
      <c r="M57" s="4">
        <v>0</v>
      </c>
      <c r="N57" s="4">
        <v>1</v>
      </c>
      <c r="O57" s="4">
        <v>0</v>
      </c>
      <c r="P57" s="4">
        <v>0</v>
      </c>
      <c r="Q57" s="4">
        <v>0</v>
      </c>
      <c r="R57" s="4">
        <v>1</v>
      </c>
      <c r="S57" s="4">
        <v>1</v>
      </c>
      <c r="T57" s="4">
        <v>1</v>
      </c>
      <c r="U57" s="4">
        <v>1</v>
      </c>
      <c r="V57" s="4">
        <v>0</v>
      </c>
      <c r="W57" s="4">
        <v>1</v>
      </c>
      <c r="X57" s="4">
        <v>0</v>
      </c>
      <c r="Y57" s="4">
        <v>0</v>
      </c>
    </row>
    <row r="58" spans="1:25" ht="17.25" customHeight="1" x14ac:dyDescent="0.2">
      <c r="A58" s="1" t="s">
        <v>222</v>
      </c>
      <c r="B58" s="4">
        <v>0</v>
      </c>
      <c r="C58" s="4">
        <v>0</v>
      </c>
      <c r="D58" s="4">
        <v>1</v>
      </c>
      <c r="E58" s="4">
        <v>0</v>
      </c>
      <c r="F58" s="4">
        <v>1</v>
      </c>
      <c r="G58" s="4">
        <v>1</v>
      </c>
      <c r="H58" s="4">
        <v>0</v>
      </c>
      <c r="I58" s="4">
        <v>0</v>
      </c>
      <c r="J58" s="4">
        <v>1</v>
      </c>
      <c r="K58" s="4">
        <v>0</v>
      </c>
      <c r="L58" s="4">
        <v>1</v>
      </c>
      <c r="M58" s="4">
        <v>0</v>
      </c>
      <c r="N58" s="4">
        <v>0</v>
      </c>
      <c r="O58" s="4">
        <v>1</v>
      </c>
      <c r="P58" s="4">
        <v>0</v>
      </c>
      <c r="Q58" s="4">
        <v>0</v>
      </c>
      <c r="R58" s="4">
        <v>1</v>
      </c>
      <c r="S58" s="4">
        <v>1</v>
      </c>
      <c r="T58" s="4">
        <v>1</v>
      </c>
      <c r="U58" s="4">
        <v>1</v>
      </c>
      <c r="V58" s="4">
        <v>0</v>
      </c>
      <c r="W58" s="4">
        <v>1</v>
      </c>
      <c r="X58" s="4">
        <v>0</v>
      </c>
      <c r="Y58" s="4">
        <v>0</v>
      </c>
    </row>
    <row r="59" spans="1:25" ht="17.25" customHeight="1" x14ac:dyDescent="0.2">
      <c r="A59" s="1" t="s">
        <v>223</v>
      </c>
      <c r="B59" s="4">
        <v>0</v>
      </c>
      <c r="C59" s="4">
        <v>0</v>
      </c>
      <c r="D59" s="4">
        <v>1</v>
      </c>
      <c r="E59" s="4">
        <v>1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</v>
      </c>
      <c r="L59" s="4">
        <v>1</v>
      </c>
      <c r="M59" s="4">
        <v>1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1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308"/>
  <sheetViews>
    <sheetView workbookViewId="0"/>
  </sheetViews>
  <sheetFormatPr baseColWidth="10" defaultColWidth="8.83203125" defaultRowHeight="15" x14ac:dyDescent="0.2"/>
  <cols>
    <col min="1" max="4" width="12.5" style="8" bestFit="1" customWidth="1"/>
  </cols>
  <sheetData>
    <row r="1" spans="1:4" ht="17.25" customHeight="1" x14ac:dyDescent="0.2">
      <c r="A1" s="6" t="s">
        <v>162</v>
      </c>
      <c r="B1" s="6" t="s">
        <v>163</v>
      </c>
      <c r="C1" s="6" t="s">
        <v>164</v>
      </c>
      <c r="D1" s="6" t="s">
        <v>165</v>
      </c>
    </row>
    <row r="2" spans="1:4" ht="17.25" customHeight="1" x14ac:dyDescent="0.2">
      <c r="A2" s="4">
        <v>1</v>
      </c>
      <c r="B2" s="4">
        <v>2</v>
      </c>
      <c r="C2" s="4">
        <v>4</v>
      </c>
      <c r="D2" s="4">
        <v>2</v>
      </c>
    </row>
    <row r="3" spans="1:4" ht="17.25" customHeight="1" x14ac:dyDescent="0.2">
      <c r="A3" s="4">
        <v>1</v>
      </c>
      <c r="B3" s="4">
        <v>6</v>
      </c>
      <c r="C3" s="4">
        <v>8</v>
      </c>
      <c r="D3" s="4">
        <v>2</v>
      </c>
    </row>
    <row r="4" spans="1:4" ht="17.25" customHeight="1" x14ac:dyDescent="0.2">
      <c r="A4" s="4">
        <v>1</v>
      </c>
      <c r="B4" s="4">
        <v>9</v>
      </c>
      <c r="C4" s="4">
        <v>10</v>
      </c>
      <c r="D4" s="4">
        <v>1</v>
      </c>
    </row>
    <row r="5" spans="1:4" ht="17.25" customHeight="1" x14ac:dyDescent="0.2">
      <c r="A5" s="4">
        <v>1</v>
      </c>
      <c r="B5" s="4">
        <v>12</v>
      </c>
      <c r="C5" s="4">
        <v>21</v>
      </c>
      <c r="D5" s="4">
        <v>9</v>
      </c>
    </row>
    <row r="6" spans="1:4" ht="17.25" customHeight="1" x14ac:dyDescent="0.2">
      <c r="A6" s="4">
        <v>2</v>
      </c>
      <c r="B6" s="4">
        <v>1</v>
      </c>
      <c r="C6" s="4">
        <v>4</v>
      </c>
      <c r="D6" s="4">
        <v>3</v>
      </c>
    </row>
    <row r="7" spans="1:4" ht="17.25" customHeight="1" x14ac:dyDescent="0.2">
      <c r="A7" s="4">
        <v>2</v>
      </c>
      <c r="B7" s="4">
        <v>5</v>
      </c>
      <c r="C7" s="4">
        <v>6</v>
      </c>
      <c r="D7" s="4">
        <v>1</v>
      </c>
    </row>
    <row r="8" spans="1:4" ht="17.25" customHeight="1" x14ac:dyDescent="0.2">
      <c r="A8" s="4">
        <v>2</v>
      </c>
      <c r="B8" s="4">
        <v>7</v>
      </c>
      <c r="C8" s="4">
        <v>10</v>
      </c>
      <c r="D8" s="4">
        <v>3</v>
      </c>
    </row>
    <row r="9" spans="1:4" ht="17.25" customHeight="1" x14ac:dyDescent="0.2">
      <c r="A9" s="4">
        <v>2</v>
      </c>
      <c r="B9" s="4">
        <v>13</v>
      </c>
      <c r="C9" s="4">
        <v>14</v>
      </c>
      <c r="D9" s="4">
        <v>1</v>
      </c>
    </row>
    <row r="10" spans="1:4" ht="17.25" customHeight="1" x14ac:dyDescent="0.2">
      <c r="A10" s="4">
        <v>2</v>
      </c>
      <c r="B10" s="4">
        <v>15</v>
      </c>
      <c r="C10" s="4">
        <v>18</v>
      </c>
      <c r="D10" s="4">
        <v>3</v>
      </c>
    </row>
    <row r="11" spans="1:4" ht="17.25" customHeight="1" x14ac:dyDescent="0.2">
      <c r="A11" s="4">
        <v>2</v>
      </c>
      <c r="B11" s="4">
        <v>19</v>
      </c>
      <c r="C11" s="4">
        <v>21</v>
      </c>
      <c r="D11" s="4">
        <v>2</v>
      </c>
    </row>
    <row r="12" spans="1:4" ht="17.25" customHeight="1" x14ac:dyDescent="0.2">
      <c r="A12" s="4">
        <v>3</v>
      </c>
      <c r="B12" s="4">
        <v>3</v>
      </c>
      <c r="C12" s="4">
        <v>5</v>
      </c>
      <c r="D12" s="4">
        <v>2</v>
      </c>
    </row>
    <row r="13" spans="1:4" ht="17.25" customHeight="1" x14ac:dyDescent="0.2">
      <c r="A13" s="4">
        <v>3</v>
      </c>
      <c r="B13" s="4">
        <v>8</v>
      </c>
      <c r="C13" s="4">
        <v>10</v>
      </c>
      <c r="D13" s="4">
        <v>2</v>
      </c>
    </row>
    <row r="14" spans="1:4" ht="17.25" customHeight="1" x14ac:dyDescent="0.2">
      <c r="A14" s="4">
        <v>3</v>
      </c>
      <c r="B14" s="4">
        <v>11</v>
      </c>
      <c r="C14" s="4">
        <v>12</v>
      </c>
      <c r="D14" s="4">
        <v>1</v>
      </c>
    </row>
    <row r="15" spans="1:4" ht="17.25" customHeight="1" x14ac:dyDescent="0.2">
      <c r="A15" s="4">
        <v>3</v>
      </c>
      <c r="B15" s="4">
        <v>13</v>
      </c>
      <c r="C15" s="4">
        <v>15</v>
      </c>
      <c r="D15" s="4">
        <v>2</v>
      </c>
    </row>
    <row r="16" spans="1:4" ht="17.25" customHeight="1" x14ac:dyDescent="0.2">
      <c r="A16" s="4">
        <v>3</v>
      </c>
      <c r="B16" s="4">
        <v>18</v>
      </c>
      <c r="C16" s="4">
        <v>21</v>
      </c>
      <c r="D16" s="4">
        <v>3</v>
      </c>
    </row>
    <row r="17" spans="1:4" ht="17.25" customHeight="1" x14ac:dyDescent="0.2">
      <c r="A17" s="4">
        <v>4</v>
      </c>
      <c r="B17" s="4">
        <v>2</v>
      </c>
      <c r="C17" s="4">
        <v>4</v>
      </c>
      <c r="D17" s="4">
        <v>2</v>
      </c>
    </row>
    <row r="18" spans="1:4" ht="17.25" customHeight="1" x14ac:dyDescent="0.2">
      <c r="A18" s="4">
        <v>4</v>
      </c>
      <c r="B18" s="4">
        <v>6</v>
      </c>
      <c r="C18" s="4">
        <v>11</v>
      </c>
      <c r="D18" s="4">
        <v>5</v>
      </c>
    </row>
    <row r="19" spans="1:4" ht="17.25" customHeight="1" x14ac:dyDescent="0.2">
      <c r="A19" s="4">
        <v>4</v>
      </c>
      <c r="B19" s="4">
        <v>16</v>
      </c>
      <c r="C19" s="4">
        <v>17</v>
      </c>
      <c r="D19" s="4">
        <v>1</v>
      </c>
    </row>
    <row r="20" spans="1:4" ht="17.25" customHeight="1" x14ac:dyDescent="0.2">
      <c r="A20" s="4">
        <v>4</v>
      </c>
      <c r="B20" s="4">
        <v>18</v>
      </c>
      <c r="C20" s="4">
        <v>23</v>
      </c>
      <c r="D20" s="4">
        <v>5</v>
      </c>
    </row>
    <row r="21" spans="1:4" ht="17.25" customHeight="1" x14ac:dyDescent="0.2">
      <c r="A21" s="4">
        <v>5</v>
      </c>
      <c r="B21" s="4">
        <v>3</v>
      </c>
      <c r="C21" s="4">
        <v>4</v>
      </c>
      <c r="D21" s="4">
        <v>1</v>
      </c>
    </row>
    <row r="22" spans="1:4" ht="17.25" customHeight="1" x14ac:dyDescent="0.2">
      <c r="A22" s="4">
        <v>5</v>
      </c>
      <c r="B22" s="4">
        <v>7</v>
      </c>
      <c r="C22" s="4">
        <v>8</v>
      </c>
      <c r="D22" s="4">
        <v>1</v>
      </c>
    </row>
    <row r="23" spans="1:4" ht="17.25" customHeight="1" x14ac:dyDescent="0.2">
      <c r="A23" s="4">
        <v>5</v>
      </c>
      <c r="B23" s="4">
        <v>9</v>
      </c>
      <c r="C23" s="4">
        <v>12</v>
      </c>
      <c r="D23" s="4">
        <v>3</v>
      </c>
    </row>
    <row r="24" spans="1:4" ht="17.25" customHeight="1" x14ac:dyDescent="0.2">
      <c r="A24" s="4">
        <v>5</v>
      </c>
      <c r="B24" s="4">
        <v>13</v>
      </c>
      <c r="C24" s="4">
        <v>14</v>
      </c>
      <c r="D24" s="4">
        <v>1</v>
      </c>
    </row>
    <row r="25" spans="1:4" ht="17.25" customHeight="1" x14ac:dyDescent="0.2">
      <c r="A25" s="4">
        <v>5</v>
      </c>
      <c r="B25" s="4">
        <v>17</v>
      </c>
      <c r="C25" s="4">
        <v>18</v>
      </c>
      <c r="D25" s="4">
        <v>1</v>
      </c>
    </row>
    <row r="26" spans="1:4" ht="17.25" customHeight="1" x14ac:dyDescent="0.2">
      <c r="A26" s="4">
        <v>5</v>
      </c>
      <c r="B26" s="4">
        <v>20</v>
      </c>
      <c r="C26" s="4">
        <v>23</v>
      </c>
      <c r="D26" s="4">
        <v>3</v>
      </c>
    </row>
    <row r="27" spans="1:4" ht="17.25" customHeight="1" x14ac:dyDescent="0.2">
      <c r="A27" s="4">
        <v>6</v>
      </c>
      <c r="B27" s="4">
        <v>1</v>
      </c>
      <c r="C27" s="4">
        <v>8</v>
      </c>
      <c r="D27" s="4">
        <v>7</v>
      </c>
    </row>
    <row r="28" spans="1:4" ht="17.25" customHeight="1" x14ac:dyDescent="0.2">
      <c r="A28" s="4">
        <v>6</v>
      </c>
      <c r="B28" s="4">
        <v>9</v>
      </c>
      <c r="C28" s="4">
        <v>10</v>
      </c>
      <c r="D28" s="4">
        <v>1</v>
      </c>
    </row>
    <row r="29" spans="1:4" ht="17.25" customHeight="1" x14ac:dyDescent="0.2">
      <c r="A29" s="4">
        <v>6</v>
      </c>
      <c r="B29" s="4">
        <v>12</v>
      </c>
      <c r="C29" s="4">
        <v>13</v>
      </c>
      <c r="D29" s="4">
        <v>1</v>
      </c>
    </row>
    <row r="30" spans="1:4" ht="17.25" customHeight="1" x14ac:dyDescent="0.2">
      <c r="A30" s="4">
        <v>6</v>
      </c>
      <c r="B30" s="4">
        <v>15</v>
      </c>
      <c r="C30" s="4">
        <v>16</v>
      </c>
      <c r="D30" s="4">
        <v>1</v>
      </c>
    </row>
    <row r="31" spans="1:4" ht="17.25" customHeight="1" x14ac:dyDescent="0.2">
      <c r="A31" s="4">
        <v>6</v>
      </c>
      <c r="B31" s="4">
        <v>17</v>
      </c>
      <c r="C31" s="4">
        <v>20</v>
      </c>
      <c r="D31" s="4">
        <v>3</v>
      </c>
    </row>
    <row r="32" spans="1:4" ht="17.25" customHeight="1" x14ac:dyDescent="0.2">
      <c r="A32" s="4">
        <v>7</v>
      </c>
      <c r="B32" s="4">
        <v>1</v>
      </c>
      <c r="C32" s="4">
        <v>2</v>
      </c>
      <c r="D32" s="4">
        <v>1</v>
      </c>
    </row>
    <row r="33" spans="1:4" ht="17.25" customHeight="1" x14ac:dyDescent="0.2">
      <c r="A33" s="4">
        <v>7</v>
      </c>
      <c r="B33" s="4">
        <v>3</v>
      </c>
      <c r="C33" s="4">
        <v>5</v>
      </c>
      <c r="D33" s="4">
        <v>2</v>
      </c>
    </row>
    <row r="34" spans="1:4" ht="17.25" customHeight="1" x14ac:dyDescent="0.2">
      <c r="A34" s="4">
        <v>7</v>
      </c>
      <c r="B34" s="4">
        <v>9</v>
      </c>
      <c r="C34" s="4">
        <v>11</v>
      </c>
      <c r="D34" s="4">
        <v>2</v>
      </c>
    </row>
    <row r="35" spans="1:4" ht="17.25" customHeight="1" x14ac:dyDescent="0.2">
      <c r="A35" s="4">
        <v>7</v>
      </c>
      <c r="B35" s="4">
        <v>12</v>
      </c>
      <c r="C35" s="4">
        <v>14</v>
      </c>
      <c r="D35" s="4">
        <v>2</v>
      </c>
    </row>
    <row r="36" spans="1:4" ht="17.25" customHeight="1" x14ac:dyDescent="0.2">
      <c r="A36" s="4">
        <v>8</v>
      </c>
      <c r="B36" s="4">
        <v>2</v>
      </c>
      <c r="C36" s="4">
        <v>4</v>
      </c>
      <c r="D36" s="4">
        <v>2</v>
      </c>
    </row>
    <row r="37" spans="1:4" ht="17.25" customHeight="1" x14ac:dyDescent="0.2">
      <c r="A37" s="4">
        <v>8</v>
      </c>
      <c r="B37" s="4">
        <v>9</v>
      </c>
      <c r="C37" s="4">
        <v>12</v>
      </c>
      <c r="D37" s="4">
        <v>3</v>
      </c>
    </row>
    <row r="38" spans="1:4" ht="17.25" customHeight="1" x14ac:dyDescent="0.2">
      <c r="A38" s="4">
        <v>8</v>
      </c>
      <c r="B38" s="4">
        <v>13</v>
      </c>
      <c r="C38" s="4">
        <v>14</v>
      </c>
      <c r="D38" s="4">
        <v>1</v>
      </c>
    </row>
    <row r="39" spans="1:4" ht="17.25" customHeight="1" x14ac:dyDescent="0.2">
      <c r="A39" s="4">
        <v>8</v>
      </c>
      <c r="B39" s="4">
        <v>17</v>
      </c>
      <c r="C39" s="4">
        <v>19</v>
      </c>
      <c r="D39" s="4">
        <v>2</v>
      </c>
    </row>
    <row r="40" spans="1:4" ht="17.25" customHeight="1" x14ac:dyDescent="0.2">
      <c r="A40" s="4">
        <v>8</v>
      </c>
      <c r="B40" s="4">
        <v>21</v>
      </c>
      <c r="C40" s="4">
        <v>23</v>
      </c>
      <c r="D40" s="4">
        <v>2</v>
      </c>
    </row>
    <row r="41" spans="1:4" ht="17.25" customHeight="1" x14ac:dyDescent="0.2">
      <c r="A41" s="4">
        <v>9</v>
      </c>
      <c r="B41" s="4">
        <v>1</v>
      </c>
      <c r="C41" s="4">
        <v>6</v>
      </c>
      <c r="D41" s="4">
        <v>5</v>
      </c>
    </row>
    <row r="42" spans="1:4" ht="17.25" customHeight="1" x14ac:dyDescent="0.2">
      <c r="A42" s="4">
        <v>9</v>
      </c>
      <c r="B42" s="4">
        <v>8</v>
      </c>
      <c r="C42" s="4">
        <v>13</v>
      </c>
      <c r="D42" s="4">
        <v>5</v>
      </c>
    </row>
    <row r="43" spans="1:4" ht="17.25" customHeight="1" x14ac:dyDescent="0.2">
      <c r="A43" s="4">
        <v>9</v>
      </c>
      <c r="B43" s="4">
        <v>14</v>
      </c>
      <c r="C43" s="4">
        <v>15</v>
      </c>
      <c r="D43" s="4">
        <v>1</v>
      </c>
    </row>
    <row r="44" spans="1:4" ht="17.25" customHeight="1" x14ac:dyDescent="0.2">
      <c r="A44" s="4">
        <v>9</v>
      </c>
      <c r="B44" s="4">
        <v>18</v>
      </c>
      <c r="C44" s="4">
        <v>19</v>
      </c>
      <c r="D44" s="4">
        <v>1</v>
      </c>
    </row>
    <row r="45" spans="1:4" ht="17.25" customHeight="1" x14ac:dyDescent="0.2">
      <c r="A45" s="4">
        <v>9</v>
      </c>
      <c r="B45" s="4">
        <v>21</v>
      </c>
      <c r="C45" s="4">
        <v>22</v>
      </c>
      <c r="D45" s="4">
        <v>1</v>
      </c>
    </row>
    <row r="46" spans="1:4" ht="17.25" customHeight="1" x14ac:dyDescent="0.2">
      <c r="A46" s="4">
        <v>10</v>
      </c>
      <c r="B46" s="4">
        <v>1</v>
      </c>
      <c r="C46" s="4">
        <v>4</v>
      </c>
      <c r="D46" s="4">
        <v>3</v>
      </c>
    </row>
    <row r="47" spans="1:4" ht="17.25" customHeight="1" x14ac:dyDescent="0.2">
      <c r="A47" s="4">
        <v>10</v>
      </c>
      <c r="B47" s="4">
        <v>8</v>
      </c>
      <c r="C47" s="4">
        <v>9</v>
      </c>
      <c r="D47" s="4">
        <v>1</v>
      </c>
    </row>
    <row r="48" spans="1:4" ht="17.25" customHeight="1" x14ac:dyDescent="0.2">
      <c r="A48" s="4">
        <v>10</v>
      </c>
      <c r="B48" s="4">
        <v>10</v>
      </c>
      <c r="C48" s="4">
        <v>12</v>
      </c>
      <c r="D48" s="4">
        <v>2</v>
      </c>
    </row>
    <row r="49" spans="1:4" ht="17.25" customHeight="1" x14ac:dyDescent="0.2">
      <c r="A49" s="4">
        <v>10</v>
      </c>
      <c r="B49" s="4">
        <v>13</v>
      </c>
      <c r="C49" s="4">
        <v>14</v>
      </c>
      <c r="D49" s="4">
        <v>1</v>
      </c>
    </row>
    <row r="50" spans="1:4" ht="17.25" customHeight="1" x14ac:dyDescent="0.2">
      <c r="A50" s="4">
        <v>10</v>
      </c>
      <c r="B50" s="4">
        <v>15</v>
      </c>
      <c r="C50" s="4">
        <v>16</v>
      </c>
      <c r="D50" s="4">
        <v>1</v>
      </c>
    </row>
    <row r="51" spans="1:4" ht="17.25" customHeight="1" x14ac:dyDescent="0.2">
      <c r="A51" s="4">
        <v>10</v>
      </c>
      <c r="B51" s="4">
        <v>18</v>
      </c>
      <c r="C51" s="4">
        <v>20</v>
      </c>
      <c r="D51" s="4">
        <v>2</v>
      </c>
    </row>
    <row r="52" spans="1:4" ht="17.25" customHeight="1" x14ac:dyDescent="0.2">
      <c r="A52" s="4">
        <v>11</v>
      </c>
      <c r="B52" s="4">
        <v>2</v>
      </c>
      <c r="C52" s="4">
        <v>5</v>
      </c>
      <c r="D52" s="4">
        <v>3</v>
      </c>
    </row>
    <row r="53" spans="1:4" ht="17.25" customHeight="1" x14ac:dyDescent="0.2">
      <c r="A53" s="4">
        <v>11</v>
      </c>
      <c r="B53" s="4">
        <v>6</v>
      </c>
      <c r="C53" s="4">
        <v>7</v>
      </c>
      <c r="D53" s="4">
        <v>1</v>
      </c>
    </row>
    <row r="54" spans="1:4" ht="17.25" customHeight="1" x14ac:dyDescent="0.2">
      <c r="A54" s="4">
        <v>11</v>
      </c>
      <c r="B54" s="4">
        <v>9</v>
      </c>
      <c r="C54" s="4">
        <v>16</v>
      </c>
      <c r="D54" s="4">
        <v>7</v>
      </c>
    </row>
    <row r="55" spans="1:4" ht="17.25" customHeight="1" x14ac:dyDescent="0.2">
      <c r="A55" s="4">
        <v>11</v>
      </c>
      <c r="B55" s="4">
        <v>19</v>
      </c>
      <c r="C55" s="4">
        <v>21</v>
      </c>
      <c r="D55" s="4">
        <v>2</v>
      </c>
    </row>
    <row r="56" spans="1:4" ht="17.25" customHeight="1" x14ac:dyDescent="0.2">
      <c r="A56" s="4">
        <v>12</v>
      </c>
      <c r="B56" s="4">
        <v>1</v>
      </c>
      <c r="C56" s="4">
        <v>4</v>
      </c>
      <c r="D56" s="4">
        <v>3</v>
      </c>
    </row>
    <row r="57" spans="1:4" ht="17.25" customHeight="1" x14ac:dyDescent="0.2">
      <c r="A57" s="4">
        <v>12</v>
      </c>
      <c r="B57" s="4">
        <v>9</v>
      </c>
      <c r="C57" s="4">
        <v>10</v>
      </c>
      <c r="D57" s="4">
        <v>1</v>
      </c>
    </row>
    <row r="58" spans="1:4" ht="17.25" customHeight="1" x14ac:dyDescent="0.2">
      <c r="A58" s="4">
        <v>12</v>
      </c>
      <c r="B58" s="4">
        <v>11</v>
      </c>
      <c r="C58" s="4">
        <v>14</v>
      </c>
      <c r="D58" s="4">
        <v>3</v>
      </c>
    </row>
    <row r="59" spans="1:4" ht="17.25" customHeight="1" x14ac:dyDescent="0.2">
      <c r="A59" s="4">
        <v>12</v>
      </c>
      <c r="B59" s="4">
        <v>19</v>
      </c>
      <c r="C59" s="4">
        <v>22</v>
      </c>
      <c r="D59" s="4">
        <v>3</v>
      </c>
    </row>
    <row r="60" spans="1:4" ht="17.25" customHeight="1" x14ac:dyDescent="0.2">
      <c r="A60" s="4">
        <v>13</v>
      </c>
      <c r="B60" s="4">
        <v>2</v>
      </c>
      <c r="C60" s="4">
        <v>5</v>
      </c>
      <c r="D60" s="4">
        <v>3</v>
      </c>
    </row>
    <row r="61" spans="1:4" ht="17.25" customHeight="1" x14ac:dyDescent="0.2">
      <c r="A61" s="4">
        <v>13</v>
      </c>
      <c r="B61" s="4">
        <v>6</v>
      </c>
      <c r="C61" s="4">
        <v>9</v>
      </c>
      <c r="D61" s="4">
        <v>3</v>
      </c>
    </row>
    <row r="62" spans="1:4" ht="17.25" customHeight="1" x14ac:dyDescent="0.2">
      <c r="A62" s="4">
        <v>13</v>
      </c>
      <c r="B62" s="4">
        <v>11</v>
      </c>
      <c r="C62" s="4">
        <v>13</v>
      </c>
      <c r="D62" s="4">
        <v>2</v>
      </c>
    </row>
    <row r="63" spans="1:4" ht="17.25" customHeight="1" x14ac:dyDescent="0.2">
      <c r="A63" s="4">
        <v>13</v>
      </c>
      <c r="B63" s="4">
        <v>14</v>
      </c>
      <c r="C63" s="4">
        <v>15</v>
      </c>
      <c r="D63" s="4">
        <v>1</v>
      </c>
    </row>
    <row r="64" spans="1:4" ht="17.25" customHeight="1" x14ac:dyDescent="0.2">
      <c r="A64" s="4">
        <v>13</v>
      </c>
      <c r="B64" s="4">
        <v>16</v>
      </c>
      <c r="C64" s="4">
        <v>17</v>
      </c>
      <c r="D64" s="4">
        <v>1</v>
      </c>
    </row>
    <row r="65" spans="1:4" ht="17.25" customHeight="1" x14ac:dyDescent="0.2">
      <c r="A65" s="4">
        <v>13</v>
      </c>
      <c r="B65" s="4">
        <v>19</v>
      </c>
      <c r="C65" s="4">
        <v>22</v>
      </c>
      <c r="D65" s="4">
        <v>3</v>
      </c>
    </row>
    <row r="66" spans="1:4" ht="17.25" customHeight="1" x14ac:dyDescent="0.2">
      <c r="A66" s="4">
        <v>14</v>
      </c>
      <c r="B66" s="4">
        <v>1</v>
      </c>
      <c r="C66" s="4">
        <v>5</v>
      </c>
      <c r="D66" s="4">
        <v>4</v>
      </c>
    </row>
    <row r="67" spans="1:4" ht="17.25" customHeight="1" x14ac:dyDescent="0.2">
      <c r="A67" s="4">
        <v>14</v>
      </c>
      <c r="B67" s="4">
        <v>7</v>
      </c>
      <c r="C67" s="4">
        <v>11</v>
      </c>
      <c r="D67" s="4">
        <v>4</v>
      </c>
    </row>
    <row r="68" spans="1:4" ht="17.25" customHeight="1" x14ac:dyDescent="0.2">
      <c r="A68" s="4">
        <v>14</v>
      </c>
      <c r="B68" s="4">
        <v>13</v>
      </c>
      <c r="C68" s="4">
        <v>14</v>
      </c>
      <c r="D68" s="4">
        <v>1</v>
      </c>
    </row>
    <row r="69" spans="1:4" ht="17.25" customHeight="1" x14ac:dyDescent="0.2">
      <c r="A69" s="4">
        <v>14</v>
      </c>
      <c r="B69" s="4">
        <v>15</v>
      </c>
      <c r="C69" s="4">
        <v>16</v>
      </c>
      <c r="D69" s="4">
        <v>1</v>
      </c>
    </row>
    <row r="70" spans="1:4" ht="17.25" customHeight="1" x14ac:dyDescent="0.2">
      <c r="A70" s="4">
        <v>14</v>
      </c>
      <c r="B70" s="4">
        <v>17</v>
      </c>
      <c r="C70" s="4">
        <v>20</v>
      </c>
      <c r="D70" s="4">
        <v>3</v>
      </c>
    </row>
    <row r="71" spans="1:4" ht="17.25" customHeight="1" x14ac:dyDescent="0.2">
      <c r="A71" s="4">
        <v>15</v>
      </c>
      <c r="B71" s="4">
        <v>1</v>
      </c>
      <c r="C71" s="4">
        <v>3</v>
      </c>
      <c r="D71" s="4">
        <v>2</v>
      </c>
    </row>
    <row r="72" spans="1:4" ht="17.25" customHeight="1" x14ac:dyDescent="0.2">
      <c r="A72" s="4">
        <v>15</v>
      </c>
      <c r="B72" s="4">
        <v>4</v>
      </c>
      <c r="C72" s="4">
        <v>5</v>
      </c>
      <c r="D72" s="4">
        <v>1</v>
      </c>
    </row>
    <row r="73" spans="1:4" ht="17.25" customHeight="1" x14ac:dyDescent="0.2">
      <c r="A73" s="4">
        <v>15</v>
      </c>
      <c r="B73" s="4">
        <v>6</v>
      </c>
      <c r="C73" s="4">
        <v>7</v>
      </c>
      <c r="D73" s="4">
        <v>1</v>
      </c>
    </row>
    <row r="74" spans="1:4" ht="17.25" customHeight="1" x14ac:dyDescent="0.2">
      <c r="A74" s="4">
        <v>15</v>
      </c>
      <c r="B74" s="4">
        <v>9</v>
      </c>
      <c r="C74" s="4">
        <v>11</v>
      </c>
      <c r="D74" s="4">
        <v>2</v>
      </c>
    </row>
    <row r="75" spans="1:4" ht="17.25" customHeight="1" x14ac:dyDescent="0.2">
      <c r="A75" s="4">
        <v>15</v>
      </c>
      <c r="B75" s="4">
        <v>12</v>
      </c>
      <c r="C75" s="4">
        <v>14</v>
      </c>
      <c r="D75" s="4">
        <v>2</v>
      </c>
    </row>
    <row r="76" spans="1:4" ht="17.25" customHeight="1" x14ac:dyDescent="0.2">
      <c r="A76" s="4">
        <v>15</v>
      </c>
      <c r="B76" s="4">
        <v>16</v>
      </c>
      <c r="C76" s="4">
        <v>19</v>
      </c>
      <c r="D76" s="4">
        <v>3</v>
      </c>
    </row>
    <row r="77" spans="1:4" ht="17.25" customHeight="1" x14ac:dyDescent="0.2">
      <c r="A77" s="4">
        <v>15</v>
      </c>
      <c r="B77" s="4">
        <v>20</v>
      </c>
      <c r="C77" s="4">
        <v>22</v>
      </c>
      <c r="D77" s="4">
        <v>2</v>
      </c>
    </row>
    <row r="78" spans="1:4" ht="17.25" customHeight="1" x14ac:dyDescent="0.2">
      <c r="A78" s="4">
        <v>16</v>
      </c>
      <c r="B78" s="4">
        <v>2</v>
      </c>
      <c r="C78" s="4">
        <v>6</v>
      </c>
      <c r="D78" s="4">
        <v>4</v>
      </c>
    </row>
    <row r="79" spans="1:4" ht="17.25" customHeight="1" x14ac:dyDescent="0.2">
      <c r="A79" s="4">
        <v>16</v>
      </c>
      <c r="B79" s="4">
        <v>8</v>
      </c>
      <c r="C79" s="4">
        <v>9</v>
      </c>
      <c r="D79" s="4">
        <v>1</v>
      </c>
    </row>
    <row r="80" spans="1:4" ht="17.25" customHeight="1" x14ac:dyDescent="0.2">
      <c r="A80" s="4">
        <v>16</v>
      </c>
      <c r="B80" s="4">
        <v>10</v>
      </c>
      <c r="C80" s="4">
        <v>12</v>
      </c>
      <c r="D80" s="4">
        <v>2</v>
      </c>
    </row>
    <row r="81" spans="1:4" ht="17.25" customHeight="1" x14ac:dyDescent="0.2">
      <c r="A81" s="4">
        <v>16</v>
      </c>
      <c r="B81" s="4">
        <v>13</v>
      </c>
      <c r="C81" s="4">
        <v>14</v>
      </c>
      <c r="D81" s="4">
        <v>1</v>
      </c>
    </row>
    <row r="82" spans="1:4" ht="17.25" customHeight="1" x14ac:dyDescent="0.2">
      <c r="A82" s="4">
        <v>16</v>
      </c>
      <c r="B82" s="4">
        <v>17</v>
      </c>
      <c r="C82" s="4">
        <v>20</v>
      </c>
      <c r="D82" s="4">
        <v>3</v>
      </c>
    </row>
    <row r="83" spans="1:4" ht="17.25" customHeight="1" x14ac:dyDescent="0.2">
      <c r="A83" s="4">
        <v>17</v>
      </c>
      <c r="B83" s="4">
        <v>3</v>
      </c>
      <c r="C83" s="4">
        <v>6</v>
      </c>
      <c r="D83" s="4">
        <v>3</v>
      </c>
    </row>
    <row r="84" spans="1:4" ht="17.25" customHeight="1" x14ac:dyDescent="0.2">
      <c r="A84" s="4">
        <v>17</v>
      </c>
      <c r="B84" s="4">
        <v>8</v>
      </c>
      <c r="C84" s="4">
        <v>10</v>
      </c>
      <c r="D84" s="4">
        <v>2</v>
      </c>
    </row>
    <row r="85" spans="1:4" ht="17.25" customHeight="1" x14ac:dyDescent="0.2">
      <c r="A85" s="4">
        <v>17</v>
      </c>
      <c r="B85" s="4">
        <v>11</v>
      </c>
      <c r="C85" s="4">
        <v>13</v>
      </c>
      <c r="D85" s="4">
        <v>2</v>
      </c>
    </row>
    <row r="86" spans="1:4" ht="17.25" customHeight="1" x14ac:dyDescent="0.2">
      <c r="A86" s="4">
        <v>17</v>
      </c>
      <c r="B86" s="4">
        <v>17</v>
      </c>
      <c r="C86" s="4">
        <v>18</v>
      </c>
      <c r="D86" s="4">
        <v>1</v>
      </c>
    </row>
    <row r="87" spans="1:4" ht="17.25" customHeight="1" x14ac:dyDescent="0.2">
      <c r="A87" s="4">
        <v>17</v>
      </c>
      <c r="B87" s="4">
        <v>19</v>
      </c>
      <c r="C87" s="4">
        <v>22</v>
      </c>
      <c r="D87" s="4">
        <v>3</v>
      </c>
    </row>
    <row r="88" spans="1:4" ht="17.25" customHeight="1" x14ac:dyDescent="0.2">
      <c r="A88" s="4">
        <v>18</v>
      </c>
      <c r="B88" s="4">
        <v>2</v>
      </c>
      <c r="C88" s="4">
        <v>3</v>
      </c>
      <c r="D88" s="4">
        <v>1</v>
      </c>
    </row>
    <row r="89" spans="1:4" ht="17.25" customHeight="1" x14ac:dyDescent="0.2">
      <c r="A89" s="4">
        <v>18</v>
      </c>
      <c r="B89" s="4">
        <v>5</v>
      </c>
      <c r="C89" s="4">
        <v>6</v>
      </c>
      <c r="D89" s="4">
        <v>1</v>
      </c>
    </row>
    <row r="90" spans="1:4" ht="17.25" customHeight="1" x14ac:dyDescent="0.2">
      <c r="A90" s="4">
        <v>18</v>
      </c>
      <c r="B90" s="4">
        <v>8</v>
      </c>
      <c r="C90" s="4">
        <v>9</v>
      </c>
      <c r="D90" s="4">
        <v>1</v>
      </c>
    </row>
    <row r="91" spans="1:4" ht="17.25" customHeight="1" x14ac:dyDescent="0.2">
      <c r="A91" s="4">
        <v>18</v>
      </c>
      <c r="B91" s="4">
        <v>11</v>
      </c>
      <c r="C91" s="4">
        <v>12</v>
      </c>
      <c r="D91" s="4">
        <v>1</v>
      </c>
    </row>
    <row r="92" spans="1:4" ht="17.25" customHeight="1" x14ac:dyDescent="0.2">
      <c r="A92" s="4">
        <v>18</v>
      </c>
      <c r="B92" s="4">
        <v>14</v>
      </c>
      <c r="C92" s="4">
        <v>19</v>
      </c>
      <c r="D92" s="4">
        <v>5</v>
      </c>
    </row>
    <row r="93" spans="1:4" ht="17.25" customHeight="1" x14ac:dyDescent="0.2">
      <c r="A93" s="4">
        <v>18</v>
      </c>
      <c r="B93" s="4">
        <v>20</v>
      </c>
      <c r="C93" s="4">
        <v>21</v>
      </c>
      <c r="D93" s="4">
        <v>1</v>
      </c>
    </row>
    <row r="94" spans="1:4" ht="17.25" customHeight="1" x14ac:dyDescent="0.2">
      <c r="A94" s="4">
        <v>19</v>
      </c>
      <c r="B94" s="4">
        <v>2</v>
      </c>
      <c r="C94" s="4">
        <v>6</v>
      </c>
      <c r="D94" s="4">
        <v>4</v>
      </c>
    </row>
    <row r="95" spans="1:4" ht="17.25" customHeight="1" x14ac:dyDescent="0.2">
      <c r="A95" s="4">
        <v>19</v>
      </c>
      <c r="B95" s="4">
        <v>8</v>
      </c>
      <c r="C95" s="4">
        <v>12</v>
      </c>
      <c r="D95" s="4">
        <v>4</v>
      </c>
    </row>
    <row r="96" spans="1:4" ht="17.25" customHeight="1" x14ac:dyDescent="0.2">
      <c r="A96" s="4">
        <v>19</v>
      </c>
      <c r="B96" s="4">
        <v>13</v>
      </c>
      <c r="C96" s="4">
        <v>14</v>
      </c>
      <c r="D96" s="4">
        <v>1</v>
      </c>
    </row>
    <row r="97" spans="1:4" ht="17.25" customHeight="1" x14ac:dyDescent="0.2">
      <c r="A97" s="4">
        <v>19</v>
      </c>
      <c r="B97" s="4">
        <v>15</v>
      </c>
      <c r="C97" s="4">
        <v>16</v>
      </c>
      <c r="D97" s="4">
        <v>1</v>
      </c>
    </row>
    <row r="98" spans="1:4" ht="17.25" customHeight="1" x14ac:dyDescent="0.2">
      <c r="A98" s="4">
        <v>19</v>
      </c>
      <c r="B98" s="4">
        <v>17</v>
      </c>
      <c r="C98" s="4">
        <v>19</v>
      </c>
      <c r="D98" s="4">
        <v>2</v>
      </c>
    </row>
    <row r="99" spans="1:4" ht="17.25" customHeight="1" x14ac:dyDescent="0.2">
      <c r="A99" s="4">
        <v>19</v>
      </c>
      <c r="B99" s="4">
        <v>20</v>
      </c>
      <c r="C99" s="4">
        <v>22</v>
      </c>
      <c r="D99" s="4">
        <v>2</v>
      </c>
    </row>
    <row r="100" spans="1:4" ht="17.25" customHeight="1" x14ac:dyDescent="0.2">
      <c r="A100" s="4">
        <v>20</v>
      </c>
      <c r="B100" s="4">
        <v>1</v>
      </c>
      <c r="C100" s="4">
        <v>4</v>
      </c>
      <c r="D100" s="4">
        <v>3</v>
      </c>
    </row>
    <row r="101" spans="1:4" ht="17.25" customHeight="1" x14ac:dyDescent="0.2">
      <c r="A101" s="4">
        <v>20</v>
      </c>
      <c r="B101" s="4">
        <v>5</v>
      </c>
      <c r="C101" s="4">
        <v>6</v>
      </c>
      <c r="D101" s="4">
        <v>1</v>
      </c>
    </row>
    <row r="102" spans="1:4" ht="17.25" customHeight="1" x14ac:dyDescent="0.2">
      <c r="A102" s="4">
        <v>20</v>
      </c>
      <c r="B102" s="4">
        <v>7</v>
      </c>
      <c r="C102" s="4">
        <v>9</v>
      </c>
      <c r="D102" s="4">
        <v>2</v>
      </c>
    </row>
    <row r="103" spans="1:4" ht="17.25" customHeight="1" x14ac:dyDescent="0.2">
      <c r="A103" s="4">
        <v>20</v>
      </c>
      <c r="B103" s="4">
        <v>11</v>
      </c>
      <c r="C103" s="4">
        <v>14</v>
      </c>
      <c r="D103" s="4">
        <v>3</v>
      </c>
    </row>
    <row r="104" spans="1:4" ht="17.25" customHeight="1" x14ac:dyDescent="0.2">
      <c r="A104" s="4">
        <v>20</v>
      </c>
      <c r="B104" s="4">
        <v>16</v>
      </c>
      <c r="C104" s="4">
        <v>17</v>
      </c>
      <c r="D104" s="4">
        <v>1</v>
      </c>
    </row>
    <row r="105" spans="1:4" ht="17.25" customHeight="1" x14ac:dyDescent="0.2">
      <c r="A105" s="4">
        <v>20</v>
      </c>
      <c r="B105" s="4">
        <v>18</v>
      </c>
      <c r="C105" s="4">
        <v>20</v>
      </c>
      <c r="D105" s="4">
        <v>2</v>
      </c>
    </row>
    <row r="106" spans="1:4" ht="17.25" customHeight="1" x14ac:dyDescent="0.2">
      <c r="A106" s="4">
        <v>21</v>
      </c>
      <c r="B106" s="4">
        <v>1</v>
      </c>
      <c r="C106" s="4">
        <v>4</v>
      </c>
      <c r="D106" s="4">
        <v>3</v>
      </c>
    </row>
    <row r="107" spans="1:4" ht="17.25" customHeight="1" x14ac:dyDescent="0.2">
      <c r="A107" s="4">
        <v>21</v>
      </c>
      <c r="B107" s="4">
        <v>11</v>
      </c>
      <c r="C107" s="4">
        <v>15</v>
      </c>
      <c r="D107" s="4">
        <v>4</v>
      </c>
    </row>
    <row r="108" spans="1:4" ht="17.25" customHeight="1" x14ac:dyDescent="0.2">
      <c r="A108" s="4">
        <v>21</v>
      </c>
      <c r="B108" s="4">
        <v>17</v>
      </c>
      <c r="C108" s="4">
        <v>20</v>
      </c>
      <c r="D108" s="4">
        <v>3</v>
      </c>
    </row>
    <row r="109" spans="1:4" ht="17.25" customHeight="1" x14ac:dyDescent="0.2">
      <c r="A109" s="4">
        <v>21</v>
      </c>
      <c r="B109" s="4">
        <v>22</v>
      </c>
      <c r="C109" s="4">
        <v>23</v>
      </c>
      <c r="D109" s="4">
        <v>1</v>
      </c>
    </row>
    <row r="110" spans="1:4" ht="17.25" customHeight="1" x14ac:dyDescent="0.2">
      <c r="A110" s="4">
        <v>22</v>
      </c>
      <c r="B110" s="4">
        <v>2</v>
      </c>
      <c r="C110" s="4">
        <v>5</v>
      </c>
      <c r="D110" s="4">
        <v>3</v>
      </c>
    </row>
    <row r="111" spans="1:4" ht="17.25" customHeight="1" x14ac:dyDescent="0.2">
      <c r="A111" s="4">
        <v>22</v>
      </c>
      <c r="B111" s="4">
        <v>6</v>
      </c>
      <c r="C111" s="4">
        <v>8</v>
      </c>
      <c r="D111" s="4">
        <v>2</v>
      </c>
    </row>
    <row r="112" spans="1:4" ht="17.25" customHeight="1" x14ac:dyDescent="0.2">
      <c r="A112" s="4">
        <v>22</v>
      </c>
      <c r="B112" s="4">
        <v>9</v>
      </c>
      <c r="C112" s="4">
        <v>10</v>
      </c>
      <c r="D112" s="4">
        <v>1</v>
      </c>
    </row>
    <row r="113" spans="1:4" ht="17.25" customHeight="1" x14ac:dyDescent="0.2">
      <c r="A113" s="4">
        <v>22</v>
      </c>
      <c r="B113" s="4">
        <v>13</v>
      </c>
      <c r="C113" s="4">
        <v>14</v>
      </c>
      <c r="D113" s="4">
        <v>1</v>
      </c>
    </row>
    <row r="114" spans="1:4" ht="17.25" customHeight="1" x14ac:dyDescent="0.2">
      <c r="A114" s="4">
        <v>22</v>
      </c>
      <c r="B114" s="4">
        <v>17</v>
      </c>
      <c r="C114" s="4">
        <v>18</v>
      </c>
      <c r="D114" s="4">
        <v>1</v>
      </c>
    </row>
    <row r="115" spans="1:4" ht="17.25" customHeight="1" x14ac:dyDescent="0.2">
      <c r="A115" s="4">
        <v>22</v>
      </c>
      <c r="B115" s="4">
        <v>19</v>
      </c>
      <c r="C115" s="4">
        <v>22</v>
      </c>
      <c r="D115" s="4">
        <v>3</v>
      </c>
    </row>
    <row r="116" spans="1:4" ht="17.25" customHeight="1" x14ac:dyDescent="0.2">
      <c r="A116" s="4">
        <v>23</v>
      </c>
      <c r="B116" s="4">
        <v>1</v>
      </c>
      <c r="C116" s="4">
        <v>4</v>
      </c>
      <c r="D116" s="4">
        <v>3</v>
      </c>
    </row>
    <row r="117" spans="1:4" ht="17.25" customHeight="1" x14ac:dyDescent="0.2">
      <c r="A117" s="4">
        <v>23</v>
      </c>
      <c r="B117" s="4">
        <v>5</v>
      </c>
      <c r="C117" s="4">
        <v>6</v>
      </c>
      <c r="D117" s="4">
        <v>1</v>
      </c>
    </row>
    <row r="118" spans="1:4" ht="17.25" customHeight="1" x14ac:dyDescent="0.2">
      <c r="A118" s="4">
        <v>23</v>
      </c>
      <c r="B118" s="4">
        <v>9</v>
      </c>
      <c r="C118" s="4">
        <v>10</v>
      </c>
      <c r="D118" s="4">
        <v>1</v>
      </c>
    </row>
    <row r="119" spans="1:4" ht="17.25" customHeight="1" x14ac:dyDescent="0.2">
      <c r="A119" s="4">
        <v>23</v>
      </c>
      <c r="B119" s="4">
        <v>11</v>
      </c>
      <c r="C119" s="4">
        <v>13</v>
      </c>
      <c r="D119" s="4">
        <v>2</v>
      </c>
    </row>
    <row r="120" spans="1:4" ht="17.25" customHeight="1" x14ac:dyDescent="0.2">
      <c r="A120" s="4">
        <v>23</v>
      </c>
      <c r="B120" s="4">
        <v>17</v>
      </c>
      <c r="C120" s="4">
        <v>18</v>
      </c>
      <c r="D120" s="4">
        <v>1</v>
      </c>
    </row>
    <row r="121" spans="1:4" ht="17.25" customHeight="1" x14ac:dyDescent="0.2">
      <c r="A121" s="4">
        <v>23</v>
      </c>
      <c r="B121" s="4">
        <v>19</v>
      </c>
      <c r="C121" s="4">
        <v>21</v>
      </c>
      <c r="D121" s="4">
        <v>2</v>
      </c>
    </row>
    <row r="122" spans="1:4" ht="17.25" customHeight="1" x14ac:dyDescent="0.2">
      <c r="A122" s="4">
        <v>24</v>
      </c>
      <c r="B122" s="4">
        <v>1</v>
      </c>
      <c r="C122" s="4">
        <v>7</v>
      </c>
      <c r="D122" s="4">
        <v>6</v>
      </c>
    </row>
    <row r="123" spans="1:4" ht="17.25" customHeight="1" x14ac:dyDescent="0.2">
      <c r="A123" s="4">
        <v>24</v>
      </c>
      <c r="B123" s="4">
        <v>9</v>
      </c>
      <c r="C123" s="4">
        <v>11</v>
      </c>
      <c r="D123" s="4">
        <v>2</v>
      </c>
    </row>
    <row r="124" spans="1:4" ht="17.25" customHeight="1" x14ac:dyDescent="0.2">
      <c r="A124" s="4">
        <v>24</v>
      </c>
      <c r="B124" s="4">
        <v>15</v>
      </c>
      <c r="C124" s="4">
        <v>16</v>
      </c>
      <c r="D124" s="4">
        <v>1</v>
      </c>
    </row>
    <row r="125" spans="1:4" ht="17.25" customHeight="1" x14ac:dyDescent="0.2">
      <c r="A125" s="4">
        <v>24</v>
      </c>
      <c r="B125" s="4">
        <v>19</v>
      </c>
      <c r="C125" s="4">
        <v>20</v>
      </c>
      <c r="D125" s="4">
        <v>1</v>
      </c>
    </row>
    <row r="126" spans="1:4" ht="17.25" customHeight="1" x14ac:dyDescent="0.2">
      <c r="A126" s="4">
        <v>24</v>
      </c>
      <c r="B126" s="4">
        <v>22</v>
      </c>
      <c r="C126" s="4">
        <v>23</v>
      </c>
      <c r="D126" s="4">
        <v>1</v>
      </c>
    </row>
    <row r="127" spans="1:4" ht="17.25" customHeight="1" x14ac:dyDescent="0.2">
      <c r="A127" s="4">
        <v>25</v>
      </c>
      <c r="B127" s="4">
        <v>2</v>
      </c>
      <c r="C127" s="4">
        <v>4</v>
      </c>
      <c r="D127" s="4">
        <v>2</v>
      </c>
    </row>
    <row r="128" spans="1:4" ht="17.25" customHeight="1" x14ac:dyDescent="0.2">
      <c r="A128" s="4">
        <v>25</v>
      </c>
      <c r="B128" s="4">
        <v>9</v>
      </c>
      <c r="C128" s="4">
        <v>11</v>
      </c>
      <c r="D128" s="4">
        <v>2</v>
      </c>
    </row>
    <row r="129" spans="1:4" ht="17.25" customHeight="1" x14ac:dyDescent="0.2">
      <c r="A129" s="4">
        <v>25</v>
      </c>
      <c r="B129" s="4">
        <v>16</v>
      </c>
      <c r="C129" s="4">
        <v>22</v>
      </c>
      <c r="D129" s="4">
        <v>6</v>
      </c>
    </row>
    <row r="130" spans="1:4" ht="17.25" customHeight="1" x14ac:dyDescent="0.2">
      <c r="A130" s="4">
        <v>26</v>
      </c>
      <c r="B130" s="4">
        <v>1</v>
      </c>
      <c r="C130" s="4">
        <v>2</v>
      </c>
      <c r="D130" s="4">
        <v>1</v>
      </c>
    </row>
    <row r="131" spans="1:4" ht="17.25" customHeight="1" x14ac:dyDescent="0.2">
      <c r="A131" s="4">
        <v>26</v>
      </c>
      <c r="B131" s="4">
        <v>3</v>
      </c>
      <c r="C131" s="4">
        <v>4</v>
      </c>
      <c r="D131" s="4">
        <v>1</v>
      </c>
    </row>
    <row r="132" spans="1:4" ht="17.25" customHeight="1" x14ac:dyDescent="0.2">
      <c r="A132" s="4">
        <v>26</v>
      </c>
      <c r="B132" s="4">
        <v>10</v>
      </c>
      <c r="C132" s="4">
        <v>11</v>
      </c>
      <c r="D132" s="4">
        <v>1</v>
      </c>
    </row>
    <row r="133" spans="1:4" ht="17.25" customHeight="1" x14ac:dyDescent="0.2">
      <c r="A133" s="4">
        <v>26</v>
      </c>
      <c r="B133" s="4">
        <v>14</v>
      </c>
      <c r="C133" s="4">
        <v>15</v>
      </c>
      <c r="D133" s="4">
        <v>1</v>
      </c>
    </row>
    <row r="134" spans="1:4" ht="17.25" customHeight="1" x14ac:dyDescent="0.2">
      <c r="A134" s="4">
        <v>26</v>
      </c>
      <c r="B134" s="4">
        <v>16</v>
      </c>
      <c r="C134" s="4">
        <v>17</v>
      </c>
      <c r="D134" s="4">
        <v>1</v>
      </c>
    </row>
    <row r="135" spans="1:4" ht="17.25" customHeight="1" x14ac:dyDescent="0.2">
      <c r="A135" s="4">
        <v>27</v>
      </c>
      <c r="B135" s="4">
        <v>1</v>
      </c>
      <c r="C135" s="4">
        <v>3</v>
      </c>
      <c r="D135" s="4">
        <v>2</v>
      </c>
    </row>
    <row r="136" spans="1:4" ht="17.25" customHeight="1" x14ac:dyDescent="0.2">
      <c r="A136" s="4">
        <v>27</v>
      </c>
      <c r="B136" s="4">
        <v>4</v>
      </c>
      <c r="C136" s="4">
        <v>5</v>
      </c>
      <c r="D136" s="4">
        <v>1</v>
      </c>
    </row>
    <row r="137" spans="1:4" ht="17.25" customHeight="1" x14ac:dyDescent="0.2">
      <c r="A137" s="4">
        <v>27</v>
      </c>
      <c r="B137" s="4">
        <v>8</v>
      </c>
      <c r="C137" s="4">
        <v>9</v>
      </c>
      <c r="D137" s="4">
        <v>1</v>
      </c>
    </row>
    <row r="138" spans="1:4" ht="17.25" customHeight="1" x14ac:dyDescent="0.2">
      <c r="A138" s="4">
        <v>27</v>
      </c>
      <c r="B138" s="4">
        <v>10</v>
      </c>
      <c r="C138" s="4">
        <v>12</v>
      </c>
      <c r="D138" s="4">
        <v>2</v>
      </c>
    </row>
    <row r="139" spans="1:4" ht="17.25" customHeight="1" x14ac:dyDescent="0.2">
      <c r="A139" s="4">
        <v>27</v>
      </c>
      <c r="B139" s="4">
        <v>16</v>
      </c>
      <c r="C139" s="4">
        <v>17</v>
      </c>
      <c r="D139" s="4">
        <v>1</v>
      </c>
    </row>
    <row r="140" spans="1:4" ht="17.25" customHeight="1" x14ac:dyDescent="0.2">
      <c r="A140" s="4">
        <v>27</v>
      </c>
      <c r="B140" s="4">
        <v>18</v>
      </c>
      <c r="C140" s="4">
        <v>19</v>
      </c>
      <c r="D140" s="4">
        <v>1</v>
      </c>
    </row>
    <row r="141" spans="1:4" ht="17.25" customHeight="1" x14ac:dyDescent="0.2">
      <c r="A141" s="4">
        <v>27</v>
      </c>
      <c r="B141" s="4">
        <v>20</v>
      </c>
      <c r="C141" s="4">
        <v>22</v>
      </c>
      <c r="D141" s="4">
        <v>2</v>
      </c>
    </row>
    <row r="142" spans="1:4" ht="17.25" customHeight="1" x14ac:dyDescent="0.2">
      <c r="A142" s="4">
        <v>28</v>
      </c>
      <c r="B142" s="4">
        <v>1</v>
      </c>
      <c r="C142" s="4">
        <v>2</v>
      </c>
      <c r="D142" s="4">
        <v>1</v>
      </c>
    </row>
    <row r="143" spans="1:4" ht="17.25" customHeight="1" x14ac:dyDescent="0.2">
      <c r="A143" s="4">
        <v>28</v>
      </c>
      <c r="B143" s="4">
        <v>3</v>
      </c>
      <c r="C143" s="4">
        <v>5</v>
      </c>
      <c r="D143" s="4">
        <v>2</v>
      </c>
    </row>
    <row r="144" spans="1:4" ht="17.25" customHeight="1" x14ac:dyDescent="0.2">
      <c r="A144" s="4">
        <v>28</v>
      </c>
      <c r="B144" s="4">
        <v>6</v>
      </c>
      <c r="C144" s="4">
        <v>7</v>
      </c>
      <c r="D144" s="4">
        <v>1</v>
      </c>
    </row>
    <row r="145" spans="1:4" ht="17.25" customHeight="1" x14ac:dyDescent="0.2">
      <c r="A145" s="4">
        <v>28</v>
      </c>
      <c r="B145" s="4">
        <v>8</v>
      </c>
      <c r="C145" s="4">
        <v>10</v>
      </c>
      <c r="D145" s="4">
        <v>2</v>
      </c>
    </row>
    <row r="146" spans="1:4" ht="17.25" customHeight="1" x14ac:dyDescent="0.2">
      <c r="A146" s="4">
        <v>28</v>
      </c>
      <c r="B146" s="4">
        <v>13</v>
      </c>
      <c r="C146" s="4">
        <v>14</v>
      </c>
      <c r="D146" s="4">
        <v>1</v>
      </c>
    </row>
    <row r="147" spans="1:4" ht="17.25" customHeight="1" x14ac:dyDescent="0.2">
      <c r="A147" s="4">
        <v>28</v>
      </c>
      <c r="B147" s="4">
        <v>16</v>
      </c>
      <c r="C147" s="4">
        <v>19</v>
      </c>
      <c r="D147" s="4">
        <v>3</v>
      </c>
    </row>
    <row r="148" spans="1:4" ht="17.25" customHeight="1" x14ac:dyDescent="0.2">
      <c r="A148" s="4">
        <v>28</v>
      </c>
      <c r="B148" s="4">
        <v>22</v>
      </c>
      <c r="C148" s="4">
        <v>23</v>
      </c>
      <c r="D148" s="4">
        <v>1</v>
      </c>
    </row>
    <row r="149" spans="1:4" ht="17.25" customHeight="1" x14ac:dyDescent="0.2">
      <c r="A149" s="4">
        <v>29</v>
      </c>
      <c r="B149" s="4">
        <v>3</v>
      </c>
      <c r="C149" s="4">
        <v>6</v>
      </c>
      <c r="D149" s="4">
        <v>3</v>
      </c>
    </row>
    <row r="150" spans="1:4" ht="17.25" customHeight="1" x14ac:dyDescent="0.2">
      <c r="A150" s="4">
        <v>29</v>
      </c>
      <c r="B150" s="4">
        <v>9</v>
      </c>
      <c r="C150" s="4">
        <v>10</v>
      </c>
      <c r="D150" s="4">
        <v>1</v>
      </c>
    </row>
    <row r="151" spans="1:4" ht="17.25" customHeight="1" x14ac:dyDescent="0.2">
      <c r="A151" s="4">
        <v>29</v>
      </c>
      <c r="B151" s="4">
        <v>12</v>
      </c>
      <c r="C151" s="4">
        <v>13</v>
      </c>
      <c r="D151" s="4">
        <v>1</v>
      </c>
    </row>
    <row r="152" spans="1:4" ht="17.25" customHeight="1" x14ac:dyDescent="0.2">
      <c r="A152" s="4">
        <v>29</v>
      </c>
      <c r="B152" s="4">
        <v>16</v>
      </c>
      <c r="C152" s="4">
        <v>20</v>
      </c>
      <c r="D152" s="4">
        <v>4</v>
      </c>
    </row>
    <row r="153" spans="1:4" ht="17.25" customHeight="1" x14ac:dyDescent="0.2">
      <c r="A153" s="4">
        <v>29</v>
      </c>
      <c r="B153" s="4">
        <v>21</v>
      </c>
      <c r="C153" s="4">
        <v>22</v>
      </c>
      <c r="D153" s="4">
        <v>1</v>
      </c>
    </row>
    <row r="154" spans="1:4" ht="17.25" customHeight="1" x14ac:dyDescent="0.2">
      <c r="A154" s="4">
        <v>30</v>
      </c>
      <c r="B154" s="4">
        <v>1</v>
      </c>
      <c r="C154" s="4">
        <v>3</v>
      </c>
      <c r="D154" s="4">
        <v>2</v>
      </c>
    </row>
    <row r="155" spans="1:4" ht="17.25" customHeight="1" x14ac:dyDescent="0.2">
      <c r="A155" s="4">
        <v>30</v>
      </c>
      <c r="B155" s="4">
        <v>4</v>
      </c>
      <c r="C155" s="4">
        <v>5</v>
      </c>
      <c r="D155" s="4">
        <v>1</v>
      </c>
    </row>
    <row r="156" spans="1:4" ht="17.25" customHeight="1" x14ac:dyDescent="0.2">
      <c r="A156" s="4">
        <v>30</v>
      </c>
      <c r="B156" s="4">
        <v>6</v>
      </c>
      <c r="C156" s="4">
        <v>7</v>
      </c>
      <c r="D156" s="4">
        <v>1</v>
      </c>
    </row>
    <row r="157" spans="1:4" ht="17.25" customHeight="1" x14ac:dyDescent="0.2">
      <c r="A157" s="4">
        <v>30</v>
      </c>
      <c r="B157" s="4">
        <v>8</v>
      </c>
      <c r="C157" s="4">
        <v>11</v>
      </c>
      <c r="D157" s="4">
        <v>3</v>
      </c>
    </row>
    <row r="158" spans="1:4" ht="17.25" customHeight="1" x14ac:dyDescent="0.2">
      <c r="A158" s="4">
        <v>30</v>
      </c>
      <c r="B158" s="4">
        <v>14</v>
      </c>
      <c r="C158" s="4">
        <v>15</v>
      </c>
      <c r="D158" s="4">
        <v>1</v>
      </c>
    </row>
    <row r="159" spans="1:4" ht="17.25" customHeight="1" x14ac:dyDescent="0.2">
      <c r="A159" s="4">
        <v>30</v>
      </c>
      <c r="B159" s="4">
        <v>18</v>
      </c>
      <c r="C159" s="4">
        <v>23</v>
      </c>
      <c r="D159" s="4">
        <v>5</v>
      </c>
    </row>
    <row r="160" spans="1:4" ht="17.25" customHeight="1" x14ac:dyDescent="0.2">
      <c r="A160" s="4">
        <v>31</v>
      </c>
      <c r="B160" s="4">
        <v>3</v>
      </c>
      <c r="C160" s="4">
        <v>4</v>
      </c>
      <c r="D160" s="4">
        <v>1</v>
      </c>
    </row>
    <row r="161" spans="1:4" ht="17.25" customHeight="1" x14ac:dyDescent="0.2">
      <c r="A161" s="4">
        <v>31</v>
      </c>
      <c r="B161" s="4">
        <v>5</v>
      </c>
      <c r="C161" s="4">
        <v>6</v>
      </c>
      <c r="D161" s="4">
        <v>1</v>
      </c>
    </row>
    <row r="162" spans="1:4" ht="17.25" customHeight="1" x14ac:dyDescent="0.2">
      <c r="A162" s="4">
        <v>31</v>
      </c>
      <c r="B162" s="4">
        <v>8</v>
      </c>
      <c r="C162" s="4">
        <v>9</v>
      </c>
      <c r="D162" s="4">
        <v>1</v>
      </c>
    </row>
    <row r="163" spans="1:4" ht="17.25" customHeight="1" x14ac:dyDescent="0.2">
      <c r="A163" s="4">
        <v>31</v>
      </c>
      <c r="B163" s="4">
        <v>10</v>
      </c>
      <c r="C163" s="4">
        <v>11</v>
      </c>
      <c r="D163" s="4">
        <v>1</v>
      </c>
    </row>
    <row r="164" spans="1:4" ht="17.25" customHeight="1" x14ac:dyDescent="0.2">
      <c r="A164" s="4">
        <v>31</v>
      </c>
      <c r="B164" s="4">
        <v>18</v>
      </c>
      <c r="C164" s="4">
        <v>20</v>
      </c>
      <c r="D164" s="4">
        <v>2</v>
      </c>
    </row>
    <row r="165" spans="1:4" ht="17.25" customHeight="1" x14ac:dyDescent="0.2">
      <c r="A165" s="4">
        <v>31</v>
      </c>
      <c r="B165" s="4">
        <v>22</v>
      </c>
      <c r="C165" s="4">
        <v>23</v>
      </c>
      <c r="D165" s="4">
        <v>1</v>
      </c>
    </row>
    <row r="166" spans="1:4" ht="17.25" customHeight="1" x14ac:dyDescent="0.2">
      <c r="A166" s="4">
        <v>32</v>
      </c>
      <c r="B166" s="4">
        <v>2</v>
      </c>
      <c r="C166" s="4">
        <v>5</v>
      </c>
      <c r="D166" s="4">
        <v>3</v>
      </c>
    </row>
    <row r="167" spans="1:4" ht="17.25" customHeight="1" x14ac:dyDescent="0.2">
      <c r="A167" s="4">
        <v>32</v>
      </c>
      <c r="B167" s="4">
        <v>7</v>
      </c>
      <c r="C167" s="4">
        <v>12</v>
      </c>
      <c r="D167" s="4">
        <v>5</v>
      </c>
    </row>
    <row r="168" spans="1:4" ht="17.25" customHeight="1" x14ac:dyDescent="0.2">
      <c r="A168" s="4">
        <v>32</v>
      </c>
      <c r="B168" s="4">
        <v>13</v>
      </c>
      <c r="C168" s="4">
        <v>14</v>
      </c>
      <c r="D168" s="4">
        <v>1</v>
      </c>
    </row>
    <row r="169" spans="1:4" ht="17.25" customHeight="1" x14ac:dyDescent="0.2">
      <c r="A169" s="4">
        <v>32</v>
      </c>
      <c r="B169" s="4">
        <v>19</v>
      </c>
      <c r="C169" s="4">
        <v>20</v>
      </c>
      <c r="D169" s="4">
        <v>1</v>
      </c>
    </row>
    <row r="170" spans="1:4" ht="17.25" customHeight="1" x14ac:dyDescent="0.2">
      <c r="A170" s="4">
        <v>32</v>
      </c>
      <c r="B170" s="4">
        <v>22</v>
      </c>
      <c r="C170" s="4">
        <v>23</v>
      </c>
      <c r="D170" s="4">
        <v>1</v>
      </c>
    </row>
    <row r="171" spans="1:4" ht="17.25" customHeight="1" x14ac:dyDescent="0.2">
      <c r="A171" s="4">
        <v>33</v>
      </c>
      <c r="B171" s="4">
        <v>3</v>
      </c>
      <c r="C171" s="4">
        <v>5</v>
      </c>
      <c r="D171" s="4">
        <v>2</v>
      </c>
    </row>
    <row r="172" spans="1:4" ht="17.25" customHeight="1" x14ac:dyDescent="0.2">
      <c r="A172" s="4">
        <v>33</v>
      </c>
      <c r="B172" s="4">
        <v>13</v>
      </c>
      <c r="C172" s="4">
        <v>14</v>
      </c>
      <c r="D172" s="4">
        <v>1</v>
      </c>
    </row>
    <row r="173" spans="1:4" ht="17.25" customHeight="1" x14ac:dyDescent="0.2">
      <c r="A173" s="4">
        <v>33</v>
      </c>
      <c r="B173" s="4">
        <v>18</v>
      </c>
      <c r="C173" s="4">
        <v>20</v>
      </c>
      <c r="D173" s="4">
        <v>2</v>
      </c>
    </row>
    <row r="174" spans="1:4" ht="17.25" customHeight="1" x14ac:dyDescent="0.2">
      <c r="A174" s="4">
        <v>33</v>
      </c>
      <c r="B174" s="4">
        <v>21</v>
      </c>
      <c r="C174" s="4">
        <v>23</v>
      </c>
      <c r="D174" s="4">
        <v>2</v>
      </c>
    </row>
    <row r="175" spans="1:4" ht="17.25" customHeight="1" x14ac:dyDescent="0.2">
      <c r="A175" s="4">
        <v>34</v>
      </c>
      <c r="B175" s="4">
        <v>1</v>
      </c>
      <c r="C175" s="4">
        <v>2</v>
      </c>
      <c r="D175" s="4">
        <v>1</v>
      </c>
    </row>
    <row r="176" spans="1:4" ht="17.25" customHeight="1" x14ac:dyDescent="0.2">
      <c r="A176" s="4">
        <v>34</v>
      </c>
      <c r="B176" s="4">
        <v>7</v>
      </c>
      <c r="C176" s="4">
        <v>8</v>
      </c>
      <c r="D176" s="4">
        <v>1</v>
      </c>
    </row>
    <row r="177" spans="1:4" ht="17.25" customHeight="1" x14ac:dyDescent="0.2">
      <c r="A177" s="4">
        <v>34</v>
      </c>
      <c r="B177" s="4">
        <v>9</v>
      </c>
      <c r="C177" s="4">
        <v>11</v>
      </c>
      <c r="D177" s="4">
        <v>2</v>
      </c>
    </row>
    <row r="178" spans="1:4" ht="17.25" customHeight="1" x14ac:dyDescent="0.2">
      <c r="A178" s="4">
        <v>34</v>
      </c>
      <c r="B178" s="4">
        <v>13</v>
      </c>
      <c r="C178" s="4">
        <v>14</v>
      </c>
      <c r="D178" s="4">
        <v>1</v>
      </c>
    </row>
    <row r="179" spans="1:4" ht="17.25" customHeight="1" x14ac:dyDescent="0.2">
      <c r="A179" s="4">
        <v>34</v>
      </c>
      <c r="B179" s="4">
        <v>16</v>
      </c>
      <c r="C179" s="4">
        <v>18</v>
      </c>
      <c r="D179" s="4">
        <v>2</v>
      </c>
    </row>
    <row r="180" spans="1:4" ht="17.25" customHeight="1" x14ac:dyDescent="0.2">
      <c r="A180" s="4">
        <v>34</v>
      </c>
      <c r="B180" s="4">
        <v>19</v>
      </c>
      <c r="C180" s="4">
        <v>20</v>
      </c>
      <c r="D180" s="4">
        <v>1</v>
      </c>
    </row>
    <row r="181" spans="1:4" ht="17.25" customHeight="1" x14ac:dyDescent="0.2">
      <c r="A181" s="4">
        <v>35</v>
      </c>
      <c r="B181" s="4">
        <v>1</v>
      </c>
      <c r="C181" s="4">
        <v>4</v>
      </c>
      <c r="D181" s="4">
        <v>3</v>
      </c>
    </row>
    <row r="182" spans="1:4" ht="17.25" customHeight="1" x14ac:dyDescent="0.2">
      <c r="A182" s="4">
        <v>35</v>
      </c>
      <c r="B182" s="4">
        <v>9</v>
      </c>
      <c r="C182" s="4">
        <v>10</v>
      </c>
      <c r="D182" s="4">
        <v>1</v>
      </c>
    </row>
    <row r="183" spans="1:4" ht="17.25" customHeight="1" x14ac:dyDescent="0.2">
      <c r="A183" s="4">
        <v>35</v>
      </c>
      <c r="B183" s="4">
        <v>12</v>
      </c>
      <c r="C183" s="4">
        <v>14</v>
      </c>
      <c r="D183" s="4">
        <v>2</v>
      </c>
    </row>
    <row r="184" spans="1:4" ht="17.25" customHeight="1" x14ac:dyDescent="0.2">
      <c r="A184" s="4">
        <v>35</v>
      </c>
      <c r="B184" s="4">
        <v>17</v>
      </c>
      <c r="C184" s="4">
        <v>22</v>
      </c>
      <c r="D184" s="4">
        <v>5</v>
      </c>
    </row>
    <row r="185" spans="1:4" ht="17.25" customHeight="1" x14ac:dyDescent="0.2">
      <c r="A185" s="4">
        <v>36</v>
      </c>
      <c r="B185" s="4">
        <v>2</v>
      </c>
      <c r="C185" s="4">
        <v>3</v>
      </c>
      <c r="D185" s="4">
        <v>1</v>
      </c>
    </row>
    <row r="186" spans="1:4" ht="17.25" customHeight="1" x14ac:dyDescent="0.2">
      <c r="A186" s="4">
        <v>36</v>
      </c>
      <c r="B186" s="4">
        <v>4</v>
      </c>
      <c r="C186" s="4">
        <v>5</v>
      </c>
      <c r="D186" s="4">
        <v>1</v>
      </c>
    </row>
    <row r="187" spans="1:4" ht="17.25" customHeight="1" x14ac:dyDescent="0.2">
      <c r="A187" s="4">
        <v>36</v>
      </c>
      <c r="B187" s="4">
        <v>10</v>
      </c>
      <c r="C187" s="4">
        <v>12</v>
      </c>
      <c r="D187" s="4">
        <v>2</v>
      </c>
    </row>
    <row r="188" spans="1:4" ht="17.25" customHeight="1" x14ac:dyDescent="0.2">
      <c r="A188" s="4">
        <v>36</v>
      </c>
      <c r="B188" s="4">
        <v>13</v>
      </c>
      <c r="C188" s="4">
        <v>14</v>
      </c>
      <c r="D188" s="4">
        <v>1</v>
      </c>
    </row>
    <row r="189" spans="1:4" ht="17.25" customHeight="1" x14ac:dyDescent="0.2">
      <c r="A189" s="4">
        <v>36</v>
      </c>
      <c r="B189" s="4">
        <v>18</v>
      </c>
      <c r="C189" s="4">
        <v>19</v>
      </c>
      <c r="D189" s="4">
        <v>1</v>
      </c>
    </row>
    <row r="190" spans="1:4" ht="17.25" customHeight="1" x14ac:dyDescent="0.2">
      <c r="A190" s="4">
        <v>36</v>
      </c>
      <c r="B190" s="4">
        <v>21</v>
      </c>
      <c r="C190" s="4">
        <v>23</v>
      </c>
      <c r="D190" s="4">
        <v>2</v>
      </c>
    </row>
    <row r="191" spans="1:4" ht="17.25" customHeight="1" x14ac:dyDescent="0.2">
      <c r="A191" s="4">
        <v>37</v>
      </c>
      <c r="B191" s="4">
        <v>2</v>
      </c>
      <c r="C191" s="4">
        <v>6</v>
      </c>
      <c r="D191" s="4">
        <v>4</v>
      </c>
    </row>
    <row r="192" spans="1:4" ht="17.25" customHeight="1" x14ac:dyDescent="0.2">
      <c r="A192" s="4">
        <v>37</v>
      </c>
      <c r="B192" s="4">
        <v>14</v>
      </c>
      <c r="C192" s="4">
        <v>15</v>
      </c>
      <c r="D192" s="4">
        <v>1</v>
      </c>
    </row>
    <row r="193" spans="1:4" ht="17.25" customHeight="1" x14ac:dyDescent="0.2">
      <c r="A193" s="4">
        <v>37</v>
      </c>
      <c r="B193" s="4">
        <v>17</v>
      </c>
      <c r="C193" s="4">
        <v>21</v>
      </c>
      <c r="D193" s="4">
        <v>4</v>
      </c>
    </row>
    <row r="194" spans="1:4" ht="17.25" customHeight="1" x14ac:dyDescent="0.2">
      <c r="A194" s="4">
        <v>38</v>
      </c>
      <c r="B194" s="4">
        <v>6</v>
      </c>
      <c r="C194" s="4">
        <v>7</v>
      </c>
      <c r="D194" s="4">
        <v>1</v>
      </c>
    </row>
    <row r="195" spans="1:4" ht="17.25" customHeight="1" x14ac:dyDescent="0.2">
      <c r="A195" s="4">
        <v>38</v>
      </c>
      <c r="B195" s="4">
        <v>8</v>
      </c>
      <c r="C195" s="4">
        <v>9</v>
      </c>
      <c r="D195" s="4">
        <v>1</v>
      </c>
    </row>
    <row r="196" spans="1:4" ht="17.25" customHeight="1" x14ac:dyDescent="0.2">
      <c r="A196" s="4">
        <v>38</v>
      </c>
      <c r="B196" s="4">
        <v>16</v>
      </c>
      <c r="C196" s="4">
        <v>17</v>
      </c>
      <c r="D196" s="4">
        <v>1</v>
      </c>
    </row>
    <row r="197" spans="1:4" ht="17.25" customHeight="1" x14ac:dyDescent="0.2">
      <c r="A197" s="4">
        <v>38</v>
      </c>
      <c r="B197" s="4">
        <v>18</v>
      </c>
      <c r="C197" s="4">
        <v>23</v>
      </c>
      <c r="D197" s="4">
        <v>5</v>
      </c>
    </row>
    <row r="198" spans="1:4" ht="17.25" customHeight="1" x14ac:dyDescent="0.2">
      <c r="A198" s="4">
        <v>39</v>
      </c>
      <c r="B198" s="4">
        <v>1</v>
      </c>
      <c r="C198" s="4">
        <v>4</v>
      </c>
      <c r="D198" s="4">
        <v>3</v>
      </c>
    </row>
    <row r="199" spans="1:4" ht="17.25" customHeight="1" x14ac:dyDescent="0.2">
      <c r="A199" s="4">
        <v>39</v>
      </c>
      <c r="B199" s="4">
        <v>5</v>
      </c>
      <c r="C199" s="4">
        <v>6</v>
      </c>
      <c r="D199" s="4">
        <v>1</v>
      </c>
    </row>
    <row r="200" spans="1:4" ht="17.25" customHeight="1" x14ac:dyDescent="0.2">
      <c r="A200" s="4">
        <v>39</v>
      </c>
      <c r="B200" s="4">
        <v>8</v>
      </c>
      <c r="C200" s="4">
        <v>9</v>
      </c>
      <c r="D200" s="4">
        <v>1</v>
      </c>
    </row>
    <row r="201" spans="1:4" ht="17.25" customHeight="1" x14ac:dyDescent="0.2">
      <c r="A201" s="4">
        <v>39</v>
      </c>
      <c r="B201" s="4">
        <v>10</v>
      </c>
      <c r="C201" s="4">
        <v>11</v>
      </c>
      <c r="D201" s="4">
        <v>1</v>
      </c>
    </row>
    <row r="202" spans="1:4" ht="17.25" customHeight="1" x14ac:dyDescent="0.2">
      <c r="A202" s="4">
        <v>39</v>
      </c>
      <c r="B202" s="4">
        <v>13</v>
      </c>
      <c r="C202" s="4">
        <v>14</v>
      </c>
      <c r="D202" s="4">
        <v>1</v>
      </c>
    </row>
    <row r="203" spans="1:4" ht="17.25" customHeight="1" x14ac:dyDescent="0.2">
      <c r="A203" s="4">
        <v>39</v>
      </c>
      <c r="B203" s="4">
        <v>15</v>
      </c>
      <c r="C203" s="4">
        <v>17</v>
      </c>
      <c r="D203" s="4">
        <v>2</v>
      </c>
    </row>
    <row r="204" spans="1:4" ht="17.25" customHeight="1" x14ac:dyDescent="0.2">
      <c r="A204" s="4">
        <v>39</v>
      </c>
      <c r="B204" s="4">
        <v>18</v>
      </c>
      <c r="C204" s="4">
        <v>20</v>
      </c>
      <c r="D204" s="4">
        <v>2</v>
      </c>
    </row>
    <row r="205" spans="1:4" ht="17.25" customHeight="1" x14ac:dyDescent="0.2">
      <c r="A205" s="4">
        <v>40</v>
      </c>
      <c r="B205" s="4">
        <v>1</v>
      </c>
      <c r="C205" s="4">
        <v>4</v>
      </c>
      <c r="D205" s="4">
        <v>3</v>
      </c>
    </row>
    <row r="206" spans="1:4" ht="17.25" customHeight="1" x14ac:dyDescent="0.2">
      <c r="A206" s="4">
        <v>40</v>
      </c>
      <c r="B206" s="4">
        <v>5</v>
      </c>
      <c r="C206" s="4">
        <v>6</v>
      </c>
      <c r="D206" s="4">
        <v>1</v>
      </c>
    </row>
    <row r="207" spans="1:4" ht="17.25" customHeight="1" x14ac:dyDescent="0.2">
      <c r="A207" s="4">
        <v>40</v>
      </c>
      <c r="B207" s="4">
        <v>8</v>
      </c>
      <c r="C207" s="4">
        <v>9</v>
      </c>
      <c r="D207" s="4">
        <v>1</v>
      </c>
    </row>
    <row r="208" spans="1:4" ht="17.25" customHeight="1" x14ac:dyDescent="0.2">
      <c r="A208" s="4">
        <v>40</v>
      </c>
      <c r="B208" s="4">
        <v>13</v>
      </c>
      <c r="C208" s="4">
        <v>14</v>
      </c>
      <c r="D208" s="4">
        <v>1</v>
      </c>
    </row>
    <row r="209" spans="1:4" ht="17.25" customHeight="1" x14ac:dyDescent="0.2">
      <c r="A209" s="4">
        <v>40</v>
      </c>
      <c r="B209" s="4">
        <v>15</v>
      </c>
      <c r="C209" s="4">
        <v>20</v>
      </c>
      <c r="D209" s="4">
        <v>5</v>
      </c>
    </row>
    <row r="210" spans="1:4" ht="17.25" customHeight="1" x14ac:dyDescent="0.2">
      <c r="A210" s="4">
        <v>40</v>
      </c>
      <c r="B210" s="4">
        <v>22</v>
      </c>
      <c r="C210" s="4">
        <v>23</v>
      </c>
      <c r="D210" s="4">
        <v>1</v>
      </c>
    </row>
    <row r="211" spans="1:4" ht="17.25" customHeight="1" x14ac:dyDescent="0.2">
      <c r="A211" s="4">
        <v>41</v>
      </c>
      <c r="B211" s="4">
        <v>1</v>
      </c>
      <c r="C211" s="4">
        <v>4</v>
      </c>
      <c r="D211" s="4">
        <v>3</v>
      </c>
    </row>
    <row r="212" spans="1:4" ht="17.25" customHeight="1" x14ac:dyDescent="0.2">
      <c r="A212" s="4">
        <v>41</v>
      </c>
      <c r="B212" s="4">
        <v>5</v>
      </c>
      <c r="C212" s="4">
        <v>6</v>
      </c>
      <c r="D212" s="4">
        <v>1</v>
      </c>
    </row>
    <row r="213" spans="1:4" ht="17.25" customHeight="1" x14ac:dyDescent="0.2">
      <c r="A213" s="4">
        <v>41</v>
      </c>
      <c r="B213" s="4">
        <v>8</v>
      </c>
      <c r="C213" s="4">
        <v>9</v>
      </c>
      <c r="D213" s="4">
        <v>1</v>
      </c>
    </row>
    <row r="214" spans="1:4" ht="17.25" customHeight="1" x14ac:dyDescent="0.2">
      <c r="A214" s="4">
        <v>41</v>
      </c>
      <c r="B214" s="4">
        <v>10</v>
      </c>
      <c r="C214" s="4">
        <v>11</v>
      </c>
      <c r="D214" s="4">
        <v>1</v>
      </c>
    </row>
    <row r="215" spans="1:4" ht="17.25" customHeight="1" x14ac:dyDescent="0.2">
      <c r="A215" s="4">
        <v>41</v>
      </c>
      <c r="B215" s="4">
        <v>14</v>
      </c>
      <c r="C215" s="4">
        <v>15</v>
      </c>
      <c r="D215" s="4">
        <v>1</v>
      </c>
    </row>
    <row r="216" spans="1:4" ht="17.25" customHeight="1" x14ac:dyDescent="0.2">
      <c r="A216" s="4">
        <v>41</v>
      </c>
      <c r="B216" s="4">
        <v>17</v>
      </c>
      <c r="C216" s="4">
        <v>18</v>
      </c>
      <c r="D216" s="4">
        <v>1</v>
      </c>
    </row>
    <row r="217" spans="1:4" ht="17.25" customHeight="1" x14ac:dyDescent="0.2">
      <c r="A217" s="4">
        <v>41</v>
      </c>
      <c r="B217" s="4">
        <v>19</v>
      </c>
      <c r="C217" s="4">
        <v>20</v>
      </c>
      <c r="D217" s="4">
        <v>1</v>
      </c>
    </row>
    <row r="218" spans="1:4" ht="17.25" customHeight="1" x14ac:dyDescent="0.2">
      <c r="A218" s="4">
        <v>41</v>
      </c>
      <c r="B218" s="4">
        <v>21</v>
      </c>
      <c r="C218" s="4">
        <v>23</v>
      </c>
      <c r="D218" s="4">
        <v>2</v>
      </c>
    </row>
    <row r="219" spans="1:4" ht="17.25" customHeight="1" x14ac:dyDescent="0.2">
      <c r="A219" s="4">
        <v>42</v>
      </c>
      <c r="B219" s="4">
        <v>1</v>
      </c>
      <c r="C219" s="4">
        <v>4</v>
      </c>
      <c r="D219" s="4">
        <v>3</v>
      </c>
    </row>
    <row r="220" spans="1:4" ht="17.25" customHeight="1" x14ac:dyDescent="0.2">
      <c r="A220" s="4">
        <v>42</v>
      </c>
      <c r="B220" s="4">
        <v>6</v>
      </c>
      <c r="C220" s="4">
        <v>7</v>
      </c>
      <c r="D220" s="4">
        <v>1</v>
      </c>
    </row>
    <row r="221" spans="1:4" ht="17.25" customHeight="1" x14ac:dyDescent="0.2">
      <c r="A221" s="4">
        <v>42</v>
      </c>
      <c r="B221" s="4">
        <v>10</v>
      </c>
      <c r="C221" s="4">
        <v>11</v>
      </c>
      <c r="D221" s="4">
        <v>1</v>
      </c>
    </row>
    <row r="222" spans="1:4" ht="17.25" customHeight="1" x14ac:dyDescent="0.2">
      <c r="A222" s="4">
        <v>42</v>
      </c>
      <c r="B222" s="4">
        <v>12</v>
      </c>
      <c r="C222" s="4">
        <v>13</v>
      </c>
      <c r="D222" s="4">
        <v>1</v>
      </c>
    </row>
    <row r="223" spans="1:4" ht="17.25" customHeight="1" x14ac:dyDescent="0.2">
      <c r="A223" s="4">
        <v>42</v>
      </c>
      <c r="B223" s="4">
        <v>14</v>
      </c>
      <c r="C223" s="4">
        <v>18</v>
      </c>
      <c r="D223" s="4">
        <v>4</v>
      </c>
    </row>
    <row r="224" spans="1:4" ht="17.25" customHeight="1" x14ac:dyDescent="0.2">
      <c r="A224" s="4">
        <v>42</v>
      </c>
      <c r="B224" s="4">
        <v>20</v>
      </c>
      <c r="C224" s="4">
        <v>21</v>
      </c>
      <c r="D224" s="4">
        <v>1</v>
      </c>
    </row>
    <row r="225" spans="1:4" ht="17.25" customHeight="1" x14ac:dyDescent="0.2">
      <c r="A225" s="4">
        <v>42</v>
      </c>
      <c r="B225" s="4">
        <v>22</v>
      </c>
      <c r="C225" s="4">
        <v>23</v>
      </c>
      <c r="D225" s="4">
        <v>1</v>
      </c>
    </row>
    <row r="226" spans="1:4" ht="17.25" customHeight="1" x14ac:dyDescent="0.2">
      <c r="A226" s="4">
        <v>43</v>
      </c>
      <c r="B226" s="4">
        <v>1</v>
      </c>
      <c r="C226" s="4">
        <v>2</v>
      </c>
      <c r="D226" s="4">
        <v>1</v>
      </c>
    </row>
    <row r="227" spans="1:4" ht="17.25" customHeight="1" x14ac:dyDescent="0.2">
      <c r="A227" s="4">
        <v>43</v>
      </c>
      <c r="B227" s="4">
        <v>4</v>
      </c>
      <c r="C227" s="4">
        <v>6</v>
      </c>
      <c r="D227" s="4">
        <v>2</v>
      </c>
    </row>
    <row r="228" spans="1:4" ht="17.25" customHeight="1" x14ac:dyDescent="0.2">
      <c r="A228" s="4">
        <v>43</v>
      </c>
      <c r="B228" s="4">
        <v>8</v>
      </c>
      <c r="C228" s="4">
        <v>14</v>
      </c>
      <c r="D228" s="4">
        <v>6</v>
      </c>
    </row>
    <row r="229" spans="1:4" ht="17.25" customHeight="1" x14ac:dyDescent="0.2">
      <c r="A229" s="4">
        <v>43</v>
      </c>
      <c r="B229" s="4">
        <v>18</v>
      </c>
      <c r="C229" s="4">
        <v>19</v>
      </c>
      <c r="D229" s="4">
        <v>1</v>
      </c>
    </row>
    <row r="230" spans="1:4" ht="17.25" customHeight="1" x14ac:dyDescent="0.2">
      <c r="A230" s="4">
        <v>43</v>
      </c>
      <c r="B230" s="4">
        <v>20</v>
      </c>
      <c r="C230" s="4">
        <v>23</v>
      </c>
      <c r="D230" s="4">
        <v>3</v>
      </c>
    </row>
    <row r="231" spans="1:4" ht="17.25" customHeight="1" x14ac:dyDescent="0.2">
      <c r="A231" s="4">
        <v>44</v>
      </c>
      <c r="B231" s="4">
        <v>2</v>
      </c>
      <c r="C231" s="4">
        <v>4</v>
      </c>
      <c r="D231" s="4">
        <v>2</v>
      </c>
    </row>
    <row r="232" spans="1:4" ht="17.25" customHeight="1" x14ac:dyDescent="0.2">
      <c r="A232" s="4">
        <v>44</v>
      </c>
      <c r="B232" s="4">
        <v>5</v>
      </c>
      <c r="C232" s="4">
        <v>7</v>
      </c>
      <c r="D232" s="4">
        <v>2</v>
      </c>
    </row>
    <row r="233" spans="1:4" ht="17.25" customHeight="1" x14ac:dyDescent="0.2">
      <c r="A233" s="4">
        <v>44</v>
      </c>
      <c r="B233" s="4">
        <v>13</v>
      </c>
      <c r="C233" s="4">
        <v>14</v>
      </c>
      <c r="D233" s="4">
        <v>1</v>
      </c>
    </row>
    <row r="234" spans="1:4" ht="17.25" customHeight="1" x14ac:dyDescent="0.2">
      <c r="A234" s="4">
        <v>44</v>
      </c>
      <c r="B234" s="4">
        <v>18</v>
      </c>
      <c r="C234" s="4">
        <v>23</v>
      </c>
      <c r="D234" s="4">
        <v>5</v>
      </c>
    </row>
    <row r="235" spans="1:4" ht="17.25" customHeight="1" x14ac:dyDescent="0.2">
      <c r="A235" s="4">
        <v>45</v>
      </c>
      <c r="B235" s="4">
        <v>1</v>
      </c>
      <c r="C235" s="4">
        <v>2</v>
      </c>
      <c r="D235" s="4">
        <v>1</v>
      </c>
    </row>
    <row r="236" spans="1:4" ht="17.25" customHeight="1" x14ac:dyDescent="0.2">
      <c r="A236" s="4">
        <v>45</v>
      </c>
      <c r="B236" s="4">
        <v>3</v>
      </c>
      <c r="C236" s="4">
        <v>5</v>
      </c>
      <c r="D236" s="4">
        <v>2</v>
      </c>
    </row>
    <row r="237" spans="1:4" ht="17.25" customHeight="1" x14ac:dyDescent="0.2">
      <c r="A237" s="4">
        <v>45</v>
      </c>
      <c r="B237" s="4">
        <v>7</v>
      </c>
      <c r="C237" s="4">
        <v>11</v>
      </c>
      <c r="D237" s="4">
        <v>4</v>
      </c>
    </row>
    <row r="238" spans="1:4" ht="17.25" customHeight="1" x14ac:dyDescent="0.2">
      <c r="A238" s="4">
        <v>45</v>
      </c>
      <c r="B238" s="4">
        <v>12</v>
      </c>
      <c r="C238" s="4">
        <v>13</v>
      </c>
      <c r="D238" s="4">
        <v>1</v>
      </c>
    </row>
    <row r="239" spans="1:4" ht="17.25" customHeight="1" x14ac:dyDescent="0.2">
      <c r="A239" s="4">
        <v>45</v>
      </c>
      <c r="B239" s="4">
        <v>17</v>
      </c>
      <c r="C239" s="4">
        <v>18</v>
      </c>
      <c r="D239" s="4">
        <v>1</v>
      </c>
    </row>
    <row r="240" spans="1:4" ht="17.25" customHeight="1" x14ac:dyDescent="0.2">
      <c r="A240" s="4">
        <v>45</v>
      </c>
      <c r="B240" s="4">
        <v>19</v>
      </c>
      <c r="C240" s="4">
        <v>20</v>
      </c>
      <c r="D240" s="4">
        <v>1</v>
      </c>
    </row>
    <row r="241" spans="1:4" ht="17.25" customHeight="1" x14ac:dyDescent="0.2">
      <c r="A241" s="4">
        <v>45</v>
      </c>
      <c r="B241" s="4">
        <v>21</v>
      </c>
      <c r="C241" s="4">
        <v>22</v>
      </c>
      <c r="D241" s="4">
        <v>1</v>
      </c>
    </row>
    <row r="242" spans="1:4" ht="17.25" customHeight="1" x14ac:dyDescent="0.2">
      <c r="A242" s="4">
        <v>46</v>
      </c>
      <c r="B242" s="4">
        <v>1</v>
      </c>
      <c r="C242" s="4">
        <v>3</v>
      </c>
      <c r="D242" s="4">
        <v>2</v>
      </c>
    </row>
    <row r="243" spans="1:4" ht="17.25" customHeight="1" x14ac:dyDescent="0.2">
      <c r="A243" s="4">
        <v>46</v>
      </c>
      <c r="B243" s="4">
        <v>10</v>
      </c>
      <c r="C243" s="4">
        <v>11</v>
      </c>
      <c r="D243" s="4">
        <v>1</v>
      </c>
    </row>
    <row r="244" spans="1:4" ht="17.25" customHeight="1" x14ac:dyDescent="0.2">
      <c r="A244" s="4">
        <v>46</v>
      </c>
      <c r="B244" s="4">
        <v>12</v>
      </c>
      <c r="C244" s="4">
        <v>14</v>
      </c>
      <c r="D244" s="4">
        <v>2</v>
      </c>
    </row>
    <row r="245" spans="1:4" ht="17.25" customHeight="1" x14ac:dyDescent="0.2">
      <c r="A245" s="4">
        <v>46</v>
      </c>
      <c r="B245" s="4">
        <v>16</v>
      </c>
      <c r="C245" s="4">
        <v>19</v>
      </c>
      <c r="D245" s="4">
        <v>3</v>
      </c>
    </row>
    <row r="246" spans="1:4" ht="17.25" customHeight="1" x14ac:dyDescent="0.2">
      <c r="A246" s="4">
        <v>47</v>
      </c>
      <c r="B246" s="4">
        <v>1</v>
      </c>
      <c r="C246" s="4">
        <v>2</v>
      </c>
      <c r="D246" s="4">
        <v>1</v>
      </c>
    </row>
    <row r="247" spans="1:4" ht="17.25" customHeight="1" x14ac:dyDescent="0.2">
      <c r="A247" s="4">
        <v>47</v>
      </c>
      <c r="B247" s="4">
        <v>3</v>
      </c>
      <c r="C247" s="4">
        <v>5</v>
      </c>
      <c r="D247" s="4">
        <v>2</v>
      </c>
    </row>
    <row r="248" spans="1:4" ht="17.25" customHeight="1" x14ac:dyDescent="0.2">
      <c r="A248" s="4">
        <v>47</v>
      </c>
      <c r="B248" s="4">
        <v>12</v>
      </c>
      <c r="C248" s="4">
        <v>13</v>
      </c>
      <c r="D248" s="4">
        <v>1</v>
      </c>
    </row>
    <row r="249" spans="1:4" ht="17.25" customHeight="1" x14ac:dyDescent="0.2">
      <c r="A249" s="4">
        <v>47</v>
      </c>
      <c r="B249" s="4">
        <v>17</v>
      </c>
      <c r="C249" s="4">
        <v>18</v>
      </c>
      <c r="D249" s="4">
        <v>1</v>
      </c>
    </row>
    <row r="250" spans="1:4" ht="17.25" customHeight="1" x14ac:dyDescent="0.2">
      <c r="A250" s="4">
        <v>47</v>
      </c>
      <c r="B250" s="4">
        <v>19</v>
      </c>
      <c r="C250" s="4">
        <v>21</v>
      </c>
      <c r="D250" s="4">
        <v>2</v>
      </c>
    </row>
    <row r="251" spans="1:4" ht="17.25" customHeight="1" x14ac:dyDescent="0.2">
      <c r="A251" s="4">
        <v>48</v>
      </c>
      <c r="B251" s="4">
        <v>1</v>
      </c>
      <c r="C251" s="4">
        <v>3</v>
      </c>
      <c r="D251" s="4">
        <v>2</v>
      </c>
    </row>
    <row r="252" spans="1:4" ht="17.25" customHeight="1" x14ac:dyDescent="0.2">
      <c r="A252" s="4">
        <v>48</v>
      </c>
      <c r="B252" s="4">
        <v>4</v>
      </c>
      <c r="C252" s="4">
        <v>5</v>
      </c>
      <c r="D252" s="4">
        <v>1</v>
      </c>
    </row>
    <row r="253" spans="1:4" ht="17.25" customHeight="1" x14ac:dyDescent="0.2">
      <c r="A253" s="4">
        <v>48</v>
      </c>
      <c r="B253" s="4">
        <v>8</v>
      </c>
      <c r="C253" s="4">
        <v>9</v>
      </c>
      <c r="D253" s="4">
        <v>1</v>
      </c>
    </row>
    <row r="254" spans="1:4" ht="17.25" customHeight="1" x14ac:dyDescent="0.2">
      <c r="A254" s="4">
        <v>48</v>
      </c>
      <c r="B254" s="4">
        <v>11</v>
      </c>
      <c r="C254" s="4">
        <v>12</v>
      </c>
      <c r="D254" s="4">
        <v>1</v>
      </c>
    </row>
    <row r="255" spans="1:4" ht="17.25" customHeight="1" x14ac:dyDescent="0.2">
      <c r="A255" s="4">
        <v>48</v>
      </c>
      <c r="B255" s="4">
        <v>16</v>
      </c>
      <c r="C255" s="4">
        <v>18</v>
      </c>
      <c r="D255" s="4">
        <v>2</v>
      </c>
    </row>
    <row r="256" spans="1:4" ht="17.25" customHeight="1" x14ac:dyDescent="0.2">
      <c r="A256" s="4">
        <v>48</v>
      </c>
      <c r="B256" s="4">
        <v>20</v>
      </c>
      <c r="C256" s="4">
        <v>21</v>
      </c>
      <c r="D256" s="4">
        <v>1</v>
      </c>
    </row>
    <row r="257" spans="1:4" ht="17.25" customHeight="1" x14ac:dyDescent="0.2">
      <c r="A257" s="4">
        <v>49</v>
      </c>
      <c r="B257" s="4">
        <v>1</v>
      </c>
      <c r="C257" s="4">
        <v>5</v>
      </c>
      <c r="D257" s="4">
        <v>4</v>
      </c>
    </row>
    <row r="258" spans="1:4" ht="17.25" customHeight="1" x14ac:dyDescent="0.2">
      <c r="A258" s="4">
        <v>49</v>
      </c>
      <c r="B258" s="4">
        <v>6</v>
      </c>
      <c r="C258" s="4">
        <v>7</v>
      </c>
      <c r="D258" s="4">
        <v>1</v>
      </c>
    </row>
    <row r="259" spans="1:4" ht="17.25" customHeight="1" x14ac:dyDescent="0.2">
      <c r="A259" s="4">
        <v>49</v>
      </c>
      <c r="B259" s="4">
        <v>9</v>
      </c>
      <c r="C259" s="4">
        <v>11</v>
      </c>
      <c r="D259" s="4">
        <v>2</v>
      </c>
    </row>
    <row r="260" spans="1:4" ht="17.25" customHeight="1" x14ac:dyDescent="0.2">
      <c r="A260" s="4">
        <v>49</v>
      </c>
      <c r="B260" s="4">
        <v>12</v>
      </c>
      <c r="C260" s="4">
        <v>13</v>
      </c>
      <c r="D260" s="4">
        <v>1</v>
      </c>
    </row>
    <row r="261" spans="1:4" ht="17.25" customHeight="1" x14ac:dyDescent="0.2">
      <c r="A261" s="4">
        <v>49</v>
      </c>
      <c r="B261" s="4">
        <v>17</v>
      </c>
      <c r="C261" s="4">
        <v>18</v>
      </c>
      <c r="D261" s="4">
        <v>1</v>
      </c>
    </row>
    <row r="262" spans="1:4" ht="17.25" customHeight="1" x14ac:dyDescent="0.2">
      <c r="A262" s="4">
        <v>49</v>
      </c>
      <c r="B262" s="4">
        <v>20</v>
      </c>
      <c r="C262" s="4">
        <v>22</v>
      </c>
      <c r="D262" s="4">
        <v>2</v>
      </c>
    </row>
    <row r="263" spans="1:4" ht="17.25" customHeight="1" x14ac:dyDescent="0.2">
      <c r="A263" s="4">
        <v>50</v>
      </c>
      <c r="B263" s="4">
        <v>2</v>
      </c>
      <c r="C263" s="4">
        <v>4</v>
      </c>
      <c r="D263" s="4">
        <v>2</v>
      </c>
    </row>
    <row r="264" spans="1:4" ht="17.25" customHeight="1" x14ac:dyDescent="0.2">
      <c r="A264" s="4">
        <v>50</v>
      </c>
      <c r="B264" s="4">
        <v>8</v>
      </c>
      <c r="C264" s="4">
        <v>11</v>
      </c>
      <c r="D264" s="4">
        <v>3</v>
      </c>
    </row>
    <row r="265" spans="1:4" ht="17.25" customHeight="1" x14ac:dyDescent="0.2">
      <c r="A265" s="4">
        <v>50</v>
      </c>
      <c r="B265" s="4">
        <v>12</v>
      </c>
      <c r="C265" s="4">
        <v>14</v>
      </c>
      <c r="D265" s="4">
        <v>2</v>
      </c>
    </row>
    <row r="266" spans="1:4" ht="17.25" customHeight="1" x14ac:dyDescent="0.2">
      <c r="A266" s="4">
        <v>50</v>
      </c>
      <c r="B266" s="4">
        <v>16</v>
      </c>
      <c r="C266" s="4">
        <v>17</v>
      </c>
      <c r="D266" s="4">
        <v>1</v>
      </c>
    </row>
    <row r="267" spans="1:4" ht="17.25" customHeight="1" x14ac:dyDescent="0.2">
      <c r="A267" s="4">
        <v>50</v>
      </c>
      <c r="B267" s="4">
        <v>19</v>
      </c>
      <c r="C267" s="4">
        <v>21</v>
      </c>
      <c r="D267" s="4">
        <v>2</v>
      </c>
    </row>
    <row r="268" spans="1:4" ht="17.25" customHeight="1" x14ac:dyDescent="0.2">
      <c r="A268" s="4">
        <v>50</v>
      </c>
      <c r="B268" s="4">
        <v>22</v>
      </c>
      <c r="C268" s="4">
        <v>23</v>
      </c>
      <c r="D268" s="4">
        <v>1</v>
      </c>
    </row>
    <row r="269" spans="1:4" ht="17.25" customHeight="1" x14ac:dyDescent="0.2">
      <c r="A269" s="4">
        <v>51</v>
      </c>
      <c r="B269" s="4">
        <v>2</v>
      </c>
      <c r="C269" s="4">
        <v>5</v>
      </c>
      <c r="D269" s="4">
        <v>3</v>
      </c>
    </row>
    <row r="270" spans="1:4" ht="17.25" customHeight="1" x14ac:dyDescent="0.2">
      <c r="A270" s="4">
        <v>51</v>
      </c>
      <c r="B270" s="4">
        <v>8</v>
      </c>
      <c r="C270" s="4">
        <v>9</v>
      </c>
      <c r="D270" s="4">
        <v>1</v>
      </c>
    </row>
    <row r="271" spans="1:4" ht="17.25" customHeight="1" x14ac:dyDescent="0.2">
      <c r="A271" s="4">
        <v>51</v>
      </c>
      <c r="B271" s="4">
        <v>11</v>
      </c>
      <c r="C271" s="4">
        <v>12</v>
      </c>
      <c r="D271" s="4">
        <v>1</v>
      </c>
    </row>
    <row r="272" spans="1:4" ht="17.25" customHeight="1" x14ac:dyDescent="0.2">
      <c r="A272" s="4">
        <v>51</v>
      </c>
      <c r="B272" s="4">
        <v>19</v>
      </c>
      <c r="C272" s="4">
        <v>22</v>
      </c>
      <c r="D272" s="4">
        <v>3</v>
      </c>
    </row>
    <row r="273" spans="1:4" ht="17.25" customHeight="1" x14ac:dyDescent="0.2">
      <c r="A273" s="4">
        <v>52</v>
      </c>
      <c r="B273" s="4">
        <v>1</v>
      </c>
      <c r="C273" s="4">
        <v>4</v>
      </c>
      <c r="D273" s="4">
        <v>3</v>
      </c>
    </row>
    <row r="274" spans="1:4" ht="17.25" customHeight="1" x14ac:dyDescent="0.2">
      <c r="A274" s="4">
        <v>52</v>
      </c>
      <c r="B274" s="4">
        <v>9</v>
      </c>
      <c r="C274" s="4">
        <v>10</v>
      </c>
      <c r="D274" s="4">
        <v>1</v>
      </c>
    </row>
    <row r="275" spans="1:4" ht="17.25" customHeight="1" x14ac:dyDescent="0.2">
      <c r="A275" s="4">
        <v>52</v>
      </c>
      <c r="B275" s="4">
        <v>12</v>
      </c>
      <c r="C275" s="4">
        <v>13</v>
      </c>
      <c r="D275" s="4">
        <v>1</v>
      </c>
    </row>
    <row r="276" spans="1:4" ht="17.25" customHeight="1" x14ac:dyDescent="0.2">
      <c r="A276" s="4">
        <v>52</v>
      </c>
      <c r="B276" s="4">
        <v>15</v>
      </c>
      <c r="C276" s="4">
        <v>17</v>
      </c>
      <c r="D276" s="4">
        <v>2</v>
      </c>
    </row>
    <row r="277" spans="1:4" ht="17.25" customHeight="1" x14ac:dyDescent="0.2">
      <c r="A277" s="4">
        <v>52</v>
      </c>
      <c r="B277" s="4">
        <v>18</v>
      </c>
      <c r="C277" s="4">
        <v>20</v>
      </c>
      <c r="D277" s="4">
        <v>2</v>
      </c>
    </row>
    <row r="278" spans="1:4" ht="17.25" customHeight="1" x14ac:dyDescent="0.2">
      <c r="A278" s="4">
        <v>53</v>
      </c>
      <c r="B278" s="4">
        <v>1</v>
      </c>
      <c r="C278" s="4">
        <v>2</v>
      </c>
      <c r="D278" s="4">
        <v>1</v>
      </c>
    </row>
    <row r="279" spans="1:4" ht="17.25" customHeight="1" x14ac:dyDescent="0.2">
      <c r="A279" s="4">
        <v>53</v>
      </c>
      <c r="B279" s="4">
        <v>4</v>
      </c>
      <c r="C279" s="4">
        <v>5</v>
      </c>
      <c r="D279" s="4">
        <v>1</v>
      </c>
    </row>
    <row r="280" spans="1:4" ht="17.25" customHeight="1" x14ac:dyDescent="0.2">
      <c r="A280" s="4">
        <v>53</v>
      </c>
      <c r="B280" s="4">
        <v>9</v>
      </c>
      <c r="C280" s="4">
        <v>10</v>
      </c>
      <c r="D280" s="4">
        <v>1</v>
      </c>
    </row>
    <row r="281" spans="1:4" ht="17.25" customHeight="1" x14ac:dyDescent="0.2">
      <c r="A281" s="4">
        <v>53</v>
      </c>
      <c r="B281" s="4">
        <v>18</v>
      </c>
      <c r="C281" s="4">
        <v>19</v>
      </c>
      <c r="D281" s="4">
        <v>1</v>
      </c>
    </row>
    <row r="282" spans="1:4" ht="17.25" customHeight="1" x14ac:dyDescent="0.2">
      <c r="A282" s="4">
        <v>53</v>
      </c>
      <c r="B282" s="4">
        <v>20</v>
      </c>
      <c r="C282" s="4">
        <v>21</v>
      </c>
      <c r="D282" s="4">
        <v>1</v>
      </c>
    </row>
    <row r="283" spans="1:4" ht="17.25" customHeight="1" x14ac:dyDescent="0.2">
      <c r="A283" s="4">
        <v>54</v>
      </c>
      <c r="B283" s="4">
        <v>2</v>
      </c>
      <c r="C283" s="4">
        <v>6</v>
      </c>
      <c r="D283" s="4">
        <v>4</v>
      </c>
    </row>
    <row r="284" spans="1:4" ht="17.25" customHeight="1" x14ac:dyDescent="0.2">
      <c r="A284" s="4">
        <v>54</v>
      </c>
      <c r="B284" s="4">
        <v>8</v>
      </c>
      <c r="C284" s="4">
        <v>9</v>
      </c>
      <c r="D284" s="4">
        <v>1</v>
      </c>
    </row>
    <row r="285" spans="1:4" ht="17.25" customHeight="1" x14ac:dyDescent="0.2">
      <c r="A285" s="4">
        <v>54</v>
      </c>
      <c r="B285" s="4">
        <v>10</v>
      </c>
      <c r="C285" s="4">
        <v>14</v>
      </c>
      <c r="D285" s="4">
        <v>4</v>
      </c>
    </row>
    <row r="286" spans="1:4" ht="17.25" customHeight="1" x14ac:dyDescent="0.2">
      <c r="A286" s="4">
        <v>54</v>
      </c>
      <c r="B286" s="4">
        <v>16</v>
      </c>
      <c r="C286" s="4">
        <v>17</v>
      </c>
      <c r="D286" s="4">
        <v>1</v>
      </c>
    </row>
    <row r="287" spans="1:4" ht="17.25" customHeight="1" x14ac:dyDescent="0.2">
      <c r="A287" s="4">
        <v>54</v>
      </c>
      <c r="B287" s="4">
        <v>19</v>
      </c>
      <c r="C287" s="4">
        <v>21</v>
      </c>
      <c r="D287" s="4">
        <v>2</v>
      </c>
    </row>
    <row r="288" spans="1:4" ht="17.25" customHeight="1" x14ac:dyDescent="0.2">
      <c r="A288" s="4">
        <v>55</v>
      </c>
      <c r="B288" s="4">
        <v>2</v>
      </c>
      <c r="C288" s="4">
        <v>5</v>
      </c>
      <c r="D288" s="4">
        <v>3</v>
      </c>
    </row>
    <row r="289" spans="1:4" ht="17.25" customHeight="1" x14ac:dyDescent="0.2">
      <c r="A289" s="4">
        <v>55</v>
      </c>
      <c r="B289" s="4">
        <v>8</v>
      </c>
      <c r="C289" s="4">
        <v>9</v>
      </c>
      <c r="D289" s="4">
        <v>1</v>
      </c>
    </row>
    <row r="290" spans="1:4" ht="17.25" customHeight="1" x14ac:dyDescent="0.2">
      <c r="A290" s="4">
        <v>55</v>
      </c>
      <c r="B290" s="4">
        <v>12</v>
      </c>
      <c r="C290" s="4">
        <v>14</v>
      </c>
      <c r="D290" s="4">
        <v>2</v>
      </c>
    </row>
    <row r="291" spans="1:4" ht="17.25" customHeight="1" x14ac:dyDescent="0.2">
      <c r="A291" s="4">
        <v>55</v>
      </c>
      <c r="B291" s="4">
        <v>16</v>
      </c>
      <c r="C291" s="4">
        <v>21</v>
      </c>
      <c r="D291" s="4">
        <v>5</v>
      </c>
    </row>
    <row r="292" spans="1:4" ht="17.25" customHeight="1" x14ac:dyDescent="0.2">
      <c r="A292" s="4">
        <v>56</v>
      </c>
      <c r="B292" s="4">
        <v>1</v>
      </c>
      <c r="C292" s="4">
        <v>4</v>
      </c>
      <c r="D292" s="4">
        <v>3</v>
      </c>
    </row>
    <row r="293" spans="1:4" ht="17.25" customHeight="1" x14ac:dyDescent="0.2">
      <c r="A293" s="4">
        <v>56</v>
      </c>
      <c r="B293" s="4">
        <v>5</v>
      </c>
      <c r="C293" s="4">
        <v>6</v>
      </c>
      <c r="D293" s="4">
        <v>1</v>
      </c>
    </row>
    <row r="294" spans="1:4" ht="17.25" customHeight="1" x14ac:dyDescent="0.2">
      <c r="A294" s="4">
        <v>56</v>
      </c>
      <c r="B294" s="4">
        <v>8</v>
      </c>
      <c r="C294" s="4">
        <v>10</v>
      </c>
      <c r="D294" s="4">
        <v>2</v>
      </c>
    </row>
    <row r="295" spans="1:4" ht="17.25" customHeight="1" x14ac:dyDescent="0.2">
      <c r="A295" s="4">
        <v>56</v>
      </c>
      <c r="B295" s="4">
        <v>12</v>
      </c>
      <c r="C295" s="4">
        <v>13</v>
      </c>
      <c r="D295" s="4">
        <v>1</v>
      </c>
    </row>
    <row r="296" spans="1:4" ht="17.25" customHeight="1" x14ac:dyDescent="0.2">
      <c r="A296" s="4">
        <v>56</v>
      </c>
      <c r="B296" s="4">
        <v>16</v>
      </c>
      <c r="C296" s="4">
        <v>20</v>
      </c>
      <c r="D296" s="4">
        <v>4</v>
      </c>
    </row>
    <row r="297" spans="1:4" ht="17.25" customHeight="1" x14ac:dyDescent="0.2">
      <c r="A297" s="4">
        <v>56</v>
      </c>
      <c r="B297" s="4">
        <v>21</v>
      </c>
      <c r="C297" s="4">
        <v>22</v>
      </c>
      <c r="D297" s="4">
        <v>1</v>
      </c>
    </row>
    <row r="298" spans="1:4" ht="17.25" customHeight="1" x14ac:dyDescent="0.2">
      <c r="A298" s="4">
        <v>57</v>
      </c>
      <c r="B298" s="4">
        <v>2</v>
      </c>
      <c r="C298" s="4">
        <v>3</v>
      </c>
      <c r="D298" s="4">
        <v>1</v>
      </c>
    </row>
    <row r="299" spans="1:4" ht="17.25" customHeight="1" x14ac:dyDescent="0.2">
      <c r="A299" s="4">
        <v>57</v>
      </c>
      <c r="B299" s="4">
        <v>4</v>
      </c>
      <c r="C299" s="4">
        <v>6</v>
      </c>
      <c r="D299" s="4">
        <v>2</v>
      </c>
    </row>
    <row r="300" spans="1:4" ht="17.25" customHeight="1" x14ac:dyDescent="0.2">
      <c r="A300" s="4">
        <v>57</v>
      </c>
      <c r="B300" s="4">
        <v>8</v>
      </c>
      <c r="C300" s="4">
        <v>9</v>
      </c>
      <c r="D300" s="4">
        <v>1</v>
      </c>
    </row>
    <row r="301" spans="1:4" ht="17.25" customHeight="1" x14ac:dyDescent="0.2">
      <c r="A301" s="4">
        <v>57</v>
      </c>
      <c r="B301" s="4">
        <v>10</v>
      </c>
      <c r="C301" s="4">
        <v>11</v>
      </c>
      <c r="D301" s="4">
        <v>1</v>
      </c>
    </row>
    <row r="302" spans="1:4" ht="17.25" customHeight="1" x14ac:dyDescent="0.2">
      <c r="A302" s="4">
        <v>57</v>
      </c>
      <c r="B302" s="4">
        <v>13</v>
      </c>
      <c r="C302" s="4">
        <v>14</v>
      </c>
      <c r="D302" s="4">
        <v>1</v>
      </c>
    </row>
    <row r="303" spans="1:4" ht="17.25" customHeight="1" x14ac:dyDescent="0.2">
      <c r="A303" s="4">
        <v>57</v>
      </c>
      <c r="B303" s="4">
        <v>16</v>
      </c>
      <c r="C303" s="4">
        <v>20</v>
      </c>
      <c r="D303" s="4">
        <v>4</v>
      </c>
    </row>
    <row r="304" spans="1:4" ht="17.25" customHeight="1" x14ac:dyDescent="0.2">
      <c r="A304" s="4">
        <v>57</v>
      </c>
      <c r="B304" s="4">
        <v>21</v>
      </c>
      <c r="C304" s="4">
        <v>22</v>
      </c>
      <c r="D304" s="4">
        <v>1</v>
      </c>
    </row>
    <row r="305" spans="1:4" ht="17.25" customHeight="1" x14ac:dyDescent="0.2">
      <c r="A305" s="4">
        <v>58</v>
      </c>
      <c r="B305" s="4">
        <v>2</v>
      </c>
      <c r="C305" s="4">
        <v>4</v>
      </c>
      <c r="D305" s="4">
        <v>2</v>
      </c>
    </row>
    <row r="306" spans="1:4" ht="17.25" customHeight="1" x14ac:dyDescent="0.2">
      <c r="A306" s="4">
        <v>58</v>
      </c>
      <c r="B306" s="4">
        <v>9</v>
      </c>
      <c r="C306" s="4">
        <v>12</v>
      </c>
      <c r="D306" s="4">
        <v>3</v>
      </c>
    </row>
    <row r="307" spans="1:4" ht="17.25" customHeight="1" x14ac:dyDescent="0.2">
      <c r="A307" s="4">
        <v>58</v>
      </c>
      <c r="B307" s="4">
        <v>17</v>
      </c>
      <c r="C307" s="4">
        <v>18</v>
      </c>
      <c r="D307" s="4">
        <v>1</v>
      </c>
    </row>
    <row r="308" spans="1:4" ht="17.25" customHeight="1" x14ac:dyDescent="0.2">
      <c r="A308" s="4">
        <v>58</v>
      </c>
      <c r="B308" s="4">
        <v>19</v>
      </c>
      <c r="C308" s="4">
        <v>21</v>
      </c>
      <c r="D308" s="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105"/>
  <sheetViews>
    <sheetView workbookViewId="0"/>
  </sheetViews>
  <sheetFormatPr baseColWidth="10" defaultColWidth="8.83203125" defaultRowHeight="15" x14ac:dyDescent="0.2"/>
  <cols>
    <col min="1" max="5" width="12.5" style="8" bestFit="1" customWidth="1"/>
    <col min="6" max="7" width="12.5" style="5" bestFit="1" customWidth="1"/>
    <col min="8" max="8" width="12.5" style="8" bestFit="1" customWidth="1"/>
  </cols>
  <sheetData>
    <row r="1" spans="1:8" ht="17.25" customHeight="1" x14ac:dyDescent="0.2">
      <c r="A1" s="6" t="s">
        <v>157</v>
      </c>
      <c r="B1" s="6" t="s">
        <v>158</v>
      </c>
      <c r="C1" s="6" t="s">
        <v>159</v>
      </c>
      <c r="D1" s="6" t="s">
        <v>160</v>
      </c>
      <c r="E1" s="6" t="s">
        <v>161</v>
      </c>
      <c r="F1" s="2" t="s">
        <v>154</v>
      </c>
      <c r="G1" s="2" t="s">
        <v>155</v>
      </c>
      <c r="H1" s="6" t="s">
        <v>156</v>
      </c>
    </row>
    <row r="2" spans="1:8" ht="17.25" customHeight="1" x14ac:dyDescent="0.2">
      <c r="A2" s="4">
        <v>1</v>
      </c>
      <c r="B2" s="4">
        <v>11</v>
      </c>
      <c r="C2" s="4">
        <v>7</v>
      </c>
      <c r="D2" s="4">
        <v>2</v>
      </c>
      <c r="E2" s="4">
        <v>20</v>
      </c>
      <c r="F2" s="4">
        <v>55</v>
      </c>
      <c r="G2" s="4">
        <v>35</v>
      </c>
      <c r="H2" s="4">
        <v>10</v>
      </c>
    </row>
    <row r="3" spans="1:8" ht="17.25" customHeight="1" x14ac:dyDescent="0.2">
      <c r="A3" s="4">
        <v>2</v>
      </c>
      <c r="B3" s="4">
        <v>11</v>
      </c>
      <c r="C3" s="4">
        <v>6</v>
      </c>
      <c r="D3" s="4">
        <v>3</v>
      </c>
      <c r="E3" s="4">
        <v>20</v>
      </c>
      <c r="F3" s="4">
        <v>55</v>
      </c>
      <c r="G3" s="4">
        <v>30</v>
      </c>
      <c r="H3" s="4">
        <v>15</v>
      </c>
    </row>
    <row r="4" spans="1:8" ht="17.25" customHeight="1" x14ac:dyDescent="0.2">
      <c r="A4" s="4">
        <v>3</v>
      </c>
      <c r="B4" s="4">
        <v>11</v>
      </c>
      <c r="C4" s="4">
        <v>7</v>
      </c>
      <c r="D4" s="4">
        <v>4</v>
      </c>
      <c r="E4" s="4">
        <v>22</v>
      </c>
      <c r="F4" s="4">
        <v>50</v>
      </c>
      <c r="G4" s="3">
        <v>31.81818181818182</v>
      </c>
      <c r="H4" s="3">
        <v>18.18181818181818</v>
      </c>
    </row>
    <row r="5" spans="1:8" ht="17.25" customHeight="1" x14ac:dyDescent="0.2">
      <c r="A5" s="4">
        <v>4</v>
      </c>
      <c r="B5" s="4">
        <v>10</v>
      </c>
      <c r="C5" s="4">
        <v>7</v>
      </c>
      <c r="D5" s="4">
        <v>4</v>
      </c>
      <c r="E5" s="4">
        <v>21</v>
      </c>
      <c r="F5" s="3">
        <v>47.61904761904762</v>
      </c>
      <c r="G5" s="3">
        <v>33.333333333333343</v>
      </c>
      <c r="H5" s="3">
        <v>19.047619047619051</v>
      </c>
    </row>
    <row r="6" spans="1:8" ht="17.25" customHeight="1" x14ac:dyDescent="0.2">
      <c r="A6" s="4">
        <v>5</v>
      </c>
      <c r="B6" s="4">
        <v>14</v>
      </c>
      <c r="C6" s="4">
        <v>3</v>
      </c>
      <c r="D6" s="4">
        <v>1</v>
      </c>
      <c r="E6" s="4">
        <v>18</v>
      </c>
      <c r="F6" s="3">
        <v>77.777777777777771</v>
      </c>
      <c r="G6" s="3">
        <v>16.666666666666671</v>
      </c>
      <c r="H6" s="3">
        <v>5.5555555555555554</v>
      </c>
    </row>
    <row r="7" spans="1:8" ht="17.25" customHeight="1" x14ac:dyDescent="0.2">
      <c r="A7" s="4">
        <v>6</v>
      </c>
      <c r="B7" s="4">
        <v>9</v>
      </c>
      <c r="C7" s="4">
        <v>6</v>
      </c>
      <c r="D7" s="4">
        <v>5</v>
      </c>
      <c r="E7" s="4">
        <v>20</v>
      </c>
      <c r="F7" s="4">
        <v>45</v>
      </c>
      <c r="G7" s="4">
        <v>30</v>
      </c>
      <c r="H7" s="4">
        <v>25</v>
      </c>
    </row>
    <row r="8" spans="1:8" ht="17.25" customHeight="1" x14ac:dyDescent="0.2">
      <c r="A8" s="4">
        <v>7</v>
      </c>
      <c r="B8" s="4">
        <v>10</v>
      </c>
      <c r="C8" s="4">
        <v>6</v>
      </c>
      <c r="D8" s="4">
        <v>3</v>
      </c>
      <c r="E8" s="4">
        <v>19</v>
      </c>
      <c r="F8" s="3">
        <v>52.631578947368418</v>
      </c>
      <c r="G8" s="3">
        <v>31.578947368421051</v>
      </c>
      <c r="H8" s="3">
        <v>15.789473684210529</v>
      </c>
    </row>
    <row r="9" spans="1:8" ht="17.25" customHeight="1" x14ac:dyDescent="0.2">
      <c r="A9" s="4">
        <v>8</v>
      </c>
      <c r="B9" s="4">
        <v>11</v>
      </c>
      <c r="C9" s="4">
        <v>7</v>
      </c>
      <c r="D9" s="4">
        <v>3</v>
      </c>
      <c r="E9" s="4">
        <v>21</v>
      </c>
      <c r="F9" s="3">
        <v>52.38095238095238</v>
      </c>
      <c r="G9" s="3">
        <v>33.333333333333343</v>
      </c>
      <c r="H9" s="3">
        <v>14.28571428571429</v>
      </c>
    </row>
    <row r="10" spans="1:8" ht="17.25" customHeight="1" x14ac:dyDescent="0.2">
      <c r="A10" s="4">
        <v>9</v>
      </c>
      <c r="B10" s="4">
        <v>13</v>
      </c>
      <c r="C10" s="4">
        <v>5</v>
      </c>
      <c r="D10" s="4">
        <v>2</v>
      </c>
      <c r="E10" s="4">
        <v>20</v>
      </c>
      <c r="F10" s="4">
        <v>65</v>
      </c>
      <c r="G10" s="4">
        <v>25</v>
      </c>
      <c r="H10" s="4">
        <v>10</v>
      </c>
    </row>
    <row r="11" spans="1:8" ht="17.25" customHeight="1" x14ac:dyDescent="0.2">
      <c r="A11" s="4">
        <v>10</v>
      </c>
      <c r="B11" s="4">
        <v>10</v>
      </c>
      <c r="C11" s="4">
        <v>6</v>
      </c>
      <c r="D11" s="4">
        <v>1</v>
      </c>
      <c r="E11" s="4">
        <v>17</v>
      </c>
      <c r="F11" s="3">
        <v>58.823529411764703</v>
      </c>
      <c r="G11" s="3">
        <v>35.294117647058833</v>
      </c>
      <c r="H11" s="3">
        <v>5.882352941176471</v>
      </c>
    </row>
    <row r="12" spans="1:8" ht="17.25" customHeight="1" x14ac:dyDescent="0.2">
      <c r="A12" s="4">
        <v>11</v>
      </c>
      <c r="B12" s="4">
        <v>11</v>
      </c>
      <c r="C12" s="4">
        <v>5</v>
      </c>
      <c r="D12" s="4">
        <v>2</v>
      </c>
      <c r="E12" s="4">
        <v>18</v>
      </c>
      <c r="F12" s="3">
        <v>61.111111111111107</v>
      </c>
      <c r="G12" s="3">
        <v>27.777777777777779</v>
      </c>
      <c r="H12" s="3">
        <v>11.111111111111111</v>
      </c>
    </row>
    <row r="13" spans="1:8" ht="17.25" customHeight="1" x14ac:dyDescent="0.2">
      <c r="A13" s="4">
        <v>12</v>
      </c>
      <c r="B13" s="4">
        <v>11</v>
      </c>
      <c r="C13" s="4">
        <v>7</v>
      </c>
      <c r="D13" s="4">
        <v>0</v>
      </c>
      <c r="E13" s="4">
        <v>18</v>
      </c>
      <c r="F13" s="3">
        <v>61.111111111111107</v>
      </c>
      <c r="G13" s="3">
        <v>38.888888888888893</v>
      </c>
      <c r="H13" s="4">
        <v>0</v>
      </c>
    </row>
    <row r="14" spans="1:8" ht="17.25" customHeight="1" x14ac:dyDescent="0.2">
      <c r="A14" s="4">
        <v>13</v>
      </c>
      <c r="B14" s="4">
        <v>10</v>
      </c>
      <c r="C14" s="4">
        <v>3</v>
      </c>
      <c r="D14" s="4">
        <v>2</v>
      </c>
      <c r="E14" s="4">
        <v>15</v>
      </c>
      <c r="F14" s="3">
        <v>66.666666666666671</v>
      </c>
      <c r="G14" s="4">
        <v>20</v>
      </c>
      <c r="H14" s="3">
        <v>13.33333333333333</v>
      </c>
    </row>
    <row r="15" spans="1:8" ht="17.25" customHeight="1" x14ac:dyDescent="0.2">
      <c r="A15" s="4">
        <v>14</v>
      </c>
      <c r="B15" s="4">
        <v>12</v>
      </c>
      <c r="C15" s="4">
        <v>6</v>
      </c>
      <c r="D15" s="4">
        <v>2</v>
      </c>
      <c r="E15" s="4">
        <v>20</v>
      </c>
      <c r="F15" s="4">
        <v>60</v>
      </c>
      <c r="G15" s="4">
        <v>30</v>
      </c>
      <c r="H15" s="4">
        <v>10</v>
      </c>
    </row>
    <row r="16" spans="1:8" ht="17.25" customHeight="1" x14ac:dyDescent="0.2">
      <c r="A16" s="4">
        <v>15</v>
      </c>
      <c r="B16" s="4">
        <v>10</v>
      </c>
      <c r="C16" s="4">
        <v>8</v>
      </c>
      <c r="D16" s="4">
        <v>3</v>
      </c>
      <c r="E16" s="4">
        <v>21</v>
      </c>
      <c r="F16" s="3">
        <v>47.61904761904762</v>
      </c>
      <c r="G16" s="3">
        <v>38.095238095238088</v>
      </c>
      <c r="H16" s="3">
        <v>14.28571428571429</v>
      </c>
    </row>
    <row r="17" spans="1:8" ht="17.25" customHeight="1" x14ac:dyDescent="0.2">
      <c r="A17" s="4">
        <v>16</v>
      </c>
      <c r="B17" s="4">
        <v>11</v>
      </c>
      <c r="C17" s="4">
        <v>8</v>
      </c>
      <c r="D17" s="4">
        <v>1</v>
      </c>
      <c r="E17" s="4">
        <v>20</v>
      </c>
      <c r="F17" s="4">
        <v>55</v>
      </c>
      <c r="G17" s="4">
        <v>40</v>
      </c>
      <c r="H17" s="4">
        <v>5</v>
      </c>
    </row>
    <row r="18" spans="1:8" ht="17.25" customHeight="1" x14ac:dyDescent="0.2">
      <c r="A18" s="4">
        <v>17</v>
      </c>
      <c r="B18" s="4">
        <v>10</v>
      </c>
      <c r="C18" s="4">
        <v>6</v>
      </c>
      <c r="D18" s="4">
        <v>2</v>
      </c>
      <c r="E18" s="4">
        <v>18</v>
      </c>
      <c r="F18" s="3">
        <v>55.555555555555557</v>
      </c>
      <c r="G18" s="3">
        <v>33.333333333333343</v>
      </c>
      <c r="H18" s="3">
        <v>11.111111111111111</v>
      </c>
    </row>
    <row r="19" spans="1:8" ht="17.25" customHeight="1" x14ac:dyDescent="0.2">
      <c r="A19" s="4">
        <v>18</v>
      </c>
      <c r="B19" s="4">
        <v>10</v>
      </c>
      <c r="C19" s="4">
        <v>4</v>
      </c>
      <c r="D19" s="4">
        <v>4</v>
      </c>
      <c r="E19" s="4">
        <v>18</v>
      </c>
      <c r="F19" s="3">
        <v>55.555555555555557</v>
      </c>
      <c r="G19" s="3">
        <v>22.222222222222221</v>
      </c>
      <c r="H19" s="3">
        <v>22.222222222222221</v>
      </c>
    </row>
    <row r="20" spans="1:8" ht="17.25" customHeight="1" x14ac:dyDescent="0.2">
      <c r="A20" s="4">
        <v>19</v>
      </c>
      <c r="B20" s="4">
        <v>11</v>
      </c>
      <c r="C20" s="4">
        <v>4</v>
      </c>
      <c r="D20" s="4">
        <v>3</v>
      </c>
      <c r="E20" s="4">
        <v>18</v>
      </c>
      <c r="F20" s="3">
        <v>61.111111111111107</v>
      </c>
      <c r="G20" s="3">
        <v>22.222222222222221</v>
      </c>
      <c r="H20" s="3">
        <v>16.666666666666671</v>
      </c>
    </row>
    <row r="21" spans="1:8" ht="17.25" customHeight="1" x14ac:dyDescent="0.2">
      <c r="A21" s="4">
        <v>20</v>
      </c>
      <c r="B21" s="4">
        <v>12</v>
      </c>
      <c r="C21" s="4">
        <v>5</v>
      </c>
      <c r="D21" s="4">
        <v>3</v>
      </c>
      <c r="E21" s="4">
        <v>20</v>
      </c>
      <c r="F21" s="4">
        <v>60</v>
      </c>
      <c r="G21" s="4">
        <v>25</v>
      </c>
      <c r="H21" s="4">
        <v>15</v>
      </c>
    </row>
    <row r="22" spans="1:8" ht="17.25" customHeight="1" x14ac:dyDescent="0.2">
      <c r="A22" s="4">
        <v>21</v>
      </c>
      <c r="B22" s="4">
        <v>12</v>
      </c>
      <c r="C22" s="4">
        <v>4</v>
      </c>
      <c r="D22" s="4">
        <v>4</v>
      </c>
      <c r="E22" s="4">
        <v>20</v>
      </c>
      <c r="F22" s="4">
        <v>60</v>
      </c>
      <c r="G22" s="4">
        <v>20</v>
      </c>
      <c r="H22" s="4">
        <v>20</v>
      </c>
    </row>
    <row r="23" spans="1:8" ht="17.25" customHeight="1" x14ac:dyDescent="0.2">
      <c r="A23" s="4">
        <v>22</v>
      </c>
      <c r="B23" s="4">
        <v>12</v>
      </c>
      <c r="C23" s="4">
        <v>4</v>
      </c>
      <c r="D23" s="4">
        <v>3</v>
      </c>
      <c r="E23" s="4">
        <v>19</v>
      </c>
      <c r="F23" s="3">
        <v>63.157894736842103</v>
      </c>
      <c r="G23" s="3">
        <v>21.05263157894737</v>
      </c>
      <c r="H23" s="3">
        <v>15.789473684210529</v>
      </c>
    </row>
    <row r="24" spans="1:8" ht="17.25" customHeight="1" x14ac:dyDescent="0.2">
      <c r="A24" s="4">
        <v>23</v>
      </c>
      <c r="B24" s="4">
        <v>11</v>
      </c>
      <c r="C24" s="4">
        <v>7</v>
      </c>
      <c r="D24" s="4">
        <v>2</v>
      </c>
      <c r="E24" s="4">
        <v>20</v>
      </c>
      <c r="F24" s="4">
        <v>55</v>
      </c>
      <c r="G24" s="4">
        <v>35</v>
      </c>
      <c r="H24" s="4">
        <v>10</v>
      </c>
    </row>
    <row r="25" spans="1:8" ht="17.25" customHeight="1" x14ac:dyDescent="0.2">
      <c r="A25" s="4">
        <v>24</v>
      </c>
      <c r="B25" s="4">
        <v>10</v>
      </c>
      <c r="C25" s="4">
        <v>5</v>
      </c>
      <c r="D25" s="4">
        <v>4</v>
      </c>
      <c r="E25" s="4">
        <v>19</v>
      </c>
      <c r="F25" s="3">
        <v>52.631578947368418</v>
      </c>
      <c r="G25" s="3">
        <v>26.315789473684209</v>
      </c>
      <c r="H25" s="3">
        <v>21.05263157894737</v>
      </c>
    </row>
    <row r="26" spans="1:8" ht="17.25" customHeight="1" x14ac:dyDescent="0.2">
      <c r="A26" s="4">
        <v>25</v>
      </c>
      <c r="B26" s="4">
        <v>11</v>
      </c>
      <c r="C26" s="4">
        <v>3</v>
      </c>
      <c r="D26" s="4">
        <v>2</v>
      </c>
      <c r="E26" s="4">
        <v>16</v>
      </c>
      <c r="F26" s="3">
        <v>68.75</v>
      </c>
      <c r="G26" s="3">
        <v>18.75</v>
      </c>
      <c r="H26" s="3">
        <v>12.5</v>
      </c>
    </row>
    <row r="27" spans="1:8" ht="17.25" customHeight="1" x14ac:dyDescent="0.2">
      <c r="A27" s="4">
        <v>26</v>
      </c>
      <c r="B27" s="4">
        <v>13</v>
      </c>
      <c r="C27" s="4">
        <v>6</v>
      </c>
      <c r="D27" s="4">
        <v>1</v>
      </c>
      <c r="E27" s="4">
        <v>20</v>
      </c>
      <c r="F27" s="4">
        <v>65</v>
      </c>
      <c r="G27" s="4">
        <v>30</v>
      </c>
      <c r="H27" s="4">
        <v>5</v>
      </c>
    </row>
    <row r="28" spans="1:8" ht="17.25" customHeight="1" x14ac:dyDescent="0.2">
      <c r="A28" s="4">
        <v>27</v>
      </c>
      <c r="B28" s="4">
        <v>12</v>
      </c>
      <c r="C28" s="4">
        <v>5</v>
      </c>
      <c r="D28" s="4">
        <v>1</v>
      </c>
      <c r="E28" s="4">
        <v>18</v>
      </c>
      <c r="F28" s="3">
        <v>66.666666666666671</v>
      </c>
      <c r="G28" s="3">
        <v>27.777777777777779</v>
      </c>
      <c r="H28" s="3">
        <v>5.5555555555555554</v>
      </c>
    </row>
    <row r="29" spans="1:8" ht="17.25" customHeight="1" x14ac:dyDescent="0.2">
      <c r="A29" s="4">
        <v>28</v>
      </c>
      <c r="B29" s="4">
        <v>9</v>
      </c>
      <c r="C29" s="4">
        <v>7</v>
      </c>
      <c r="D29" s="4">
        <v>4</v>
      </c>
      <c r="E29" s="4">
        <v>20</v>
      </c>
      <c r="F29" s="4">
        <v>45</v>
      </c>
      <c r="G29" s="4">
        <v>35</v>
      </c>
      <c r="H29" s="4">
        <v>20</v>
      </c>
    </row>
    <row r="30" spans="1:8" ht="17.25" customHeight="1" x14ac:dyDescent="0.2">
      <c r="A30" s="4">
        <v>29</v>
      </c>
      <c r="B30" s="4">
        <v>10</v>
      </c>
      <c r="C30" s="4">
        <v>5</v>
      </c>
      <c r="D30" s="4">
        <v>6</v>
      </c>
      <c r="E30" s="4">
        <v>21</v>
      </c>
      <c r="F30" s="3">
        <v>47.61904761904762</v>
      </c>
      <c r="G30" s="3">
        <v>23.80952380952381</v>
      </c>
      <c r="H30" s="3">
        <v>28.571428571428569</v>
      </c>
    </row>
    <row r="31" spans="1:8" ht="17.25" customHeight="1" x14ac:dyDescent="0.2">
      <c r="A31" s="4">
        <v>30</v>
      </c>
      <c r="B31" s="4">
        <v>12</v>
      </c>
      <c r="C31" s="4">
        <v>5</v>
      </c>
      <c r="D31" s="4">
        <v>3</v>
      </c>
      <c r="E31" s="4">
        <v>20</v>
      </c>
      <c r="F31" s="4">
        <v>60</v>
      </c>
      <c r="G31" s="4">
        <v>25</v>
      </c>
      <c r="H31" s="4">
        <v>15</v>
      </c>
    </row>
    <row r="32" spans="1:8" ht="17.25" customHeight="1" x14ac:dyDescent="0.2">
      <c r="A32" s="4">
        <v>31</v>
      </c>
      <c r="B32" s="4">
        <v>10</v>
      </c>
      <c r="C32" s="4">
        <v>6</v>
      </c>
      <c r="D32" s="4">
        <v>3</v>
      </c>
      <c r="E32" s="4">
        <v>19</v>
      </c>
      <c r="F32" s="3">
        <v>52.631578947368418</v>
      </c>
      <c r="G32" s="3">
        <v>31.578947368421051</v>
      </c>
      <c r="H32" s="3">
        <v>15.789473684210529</v>
      </c>
    </row>
    <row r="33" spans="1:8" ht="17.25" customHeight="1" x14ac:dyDescent="0.2">
      <c r="A33" s="4">
        <v>32</v>
      </c>
      <c r="B33" s="4">
        <v>12</v>
      </c>
      <c r="C33" s="4">
        <v>7</v>
      </c>
      <c r="D33" s="4">
        <v>1</v>
      </c>
      <c r="E33" s="4">
        <v>20</v>
      </c>
      <c r="F33" s="4">
        <v>60</v>
      </c>
      <c r="G33" s="4">
        <v>35</v>
      </c>
      <c r="H33" s="4">
        <v>5</v>
      </c>
    </row>
    <row r="34" spans="1:8" ht="17.25" customHeight="1" x14ac:dyDescent="0.2">
      <c r="A34" s="4">
        <v>33</v>
      </c>
      <c r="B34" s="4">
        <v>12</v>
      </c>
      <c r="C34" s="4">
        <v>6</v>
      </c>
      <c r="D34" s="4">
        <v>3</v>
      </c>
      <c r="E34" s="4">
        <v>21</v>
      </c>
      <c r="F34" s="3">
        <v>57.142857142857153</v>
      </c>
      <c r="G34" s="3">
        <v>28.571428571428569</v>
      </c>
      <c r="H34" s="3">
        <v>14.28571428571429</v>
      </c>
    </row>
    <row r="35" spans="1:8" ht="17.25" customHeight="1" x14ac:dyDescent="0.2">
      <c r="A35" s="4">
        <v>34</v>
      </c>
      <c r="B35" s="4">
        <v>13</v>
      </c>
      <c r="C35" s="4">
        <v>4</v>
      </c>
      <c r="D35" s="4">
        <v>4</v>
      </c>
      <c r="E35" s="4">
        <v>21</v>
      </c>
      <c r="F35" s="3">
        <v>61.904761904761912</v>
      </c>
      <c r="G35" s="3">
        <v>19.047619047619051</v>
      </c>
      <c r="H35" s="3">
        <v>19.047619047619051</v>
      </c>
    </row>
    <row r="36" spans="1:8" ht="17.25" customHeight="1" x14ac:dyDescent="0.2">
      <c r="A36" s="4">
        <v>35</v>
      </c>
      <c r="B36" s="4">
        <v>11</v>
      </c>
      <c r="C36" s="4">
        <v>7</v>
      </c>
      <c r="D36" s="4">
        <v>1</v>
      </c>
      <c r="E36" s="4">
        <v>19</v>
      </c>
      <c r="F36" s="3">
        <v>57.89473684210526</v>
      </c>
      <c r="G36" s="3">
        <v>36.842105263157897</v>
      </c>
      <c r="H36" s="3">
        <v>5.2631578947368416</v>
      </c>
    </row>
    <row r="37" spans="1:8" ht="17.25" customHeight="1" x14ac:dyDescent="0.2">
      <c r="A37" s="4">
        <v>36</v>
      </c>
      <c r="B37" s="4">
        <v>9</v>
      </c>
      <c r="C37" s="4">
        <v>7</v>
      </c>
      <c r="D37" s="4">
        <v>6</v>
      </c>
      <c r="E37" s="4">
        <v>22</v>
      </c>
      <c r="F37" s="3">
        <v>40.909090909090907</v>
      </c>
      <c r="G37" s="3">
        <v>31.81818181818182</v>
      </c>
      <c r="H37" s="3">
        <v>27.27272727272727</v>
      </c>
    </row>
    <row r="38" spans="1:8" ht="17.25" customHeight="1" x14ac:dyDescent="0.2">
      <c r="A38" s="4">
        <v>37</v>
      </c>
      <c r="B38" s="4">
        <v>11</v>
      </c>
      <c r="C38" s="4">
        <v>8</v>
      </c>
      <c r="D38" s="4">
        <v>1</v>
      </c>
      <c r="E38" s="4">
        <v>20</v>
      </c>
      <c r="F38" s="4">
        <v>55</v>
      </c>
      <c r="G38" s="4">
        <v>40</v>
      </c>
      <c r="H38" s="4">
        <v>5</v>
      </c>
    </row>
    <row r="39" spans="1:8" ht="17.25" customHeight="1" x14ac:dyDescent="0.2">
      <c r="A39" s="4">
        <v>38</v>
      </c>
      <c r="B39" s="4">
        <v>11</v>
      </c>
      <c r="C39" s="4">
        <v>4</v>
      </c>
      <c r="D39" s="4">
        <v>4</v>
      </c>
      <c r="E39" s="4">
        <v>19</v>
      </c>
      <c r="F39" s="3">
        <v>57.89473684210526</v>
      </c>
      <c r="G39" s="3">
        <v>21.05263157894737</v>
      </c>
      <c r="H39" s="3">
        <v>21.05263157894737</v>
      </c>
    </row>
    <row r="40" spans="1:8" ht="17.25" customHeight="1" x14ac:dyDescent="0.2">
      <c r="A40" s="4">
        <v>39</v>
      </c>
      <c r="B40" s="4">
        <v>10</v>
      </c>
      <c r="C40" s="4">
        <v>6</v>
      </c>
      <c r="D40" s="4">
        <v>4</v>
      </c>
      <c r="E40" s="4">
        <v>20</v>
      </c>
      <c r="F40" s="4">
        <v>50</v>
      </c>
      <c r="G40" s="4">
        <v>30</v>
      </c>
      <c r="H40" s="4">
        <v>20</v>
      </c>
    </row>
    <row r="41" spans="1:8" ht="17.25" customHeight="1" x14ac:dyDescent="0.2">
      <c r="A41" s="4">
        <v>40</v>
      </c>
      <c r="B41" s="4">
        <v>10</v>
      </c>
      <c r="C41" s="4">
        <v>5</v>
      </c>
      <c r="D41" s="4">
        <v>4</v>
      </c>
      <c r="E41" s="4">
        <v>19</v>
      </c>
      <c r="F41" s="3">
        <v>52.631578947368418</v>
      </c>
      <c r="G41" s="3">
        <v>26.315789473684209</v>
      </c>
      <c r="H41" s="3">
        <v>21.05263157894737</v>
      </c>
    </row>
    <row r="42" spans="1:8" ht="17.25" customHeight="1" x14ac:dyDescent="0.2">
      <c r="A42" s="4">
        <v>41</v>
      </c>
      <c r="B42" s="4">
        <v>9</v>
      </c>
      <c r="C42" s="4">
        <v>7</v>
      </c>
      <c r="D42" s="4">
        <v>1</v>
      </c>
      <c r="E42" s="4">
        <v>17</v>
      </c>
      <c r="F42" s="3">
        <v>52.941176470588232</v>
      </c>
      <c r="G42" s="3">
        <v>41.176470588235297</v>
      </c>
      <c r="H42" s="3">
        <v>5.882352941176471</v>
      </c>
    </row>
    <row r="43" spans="1:8" ht="17.25" customHeight="1" x14ac:dyDescent="0.2">
      <c r="A43" s="4">
        <v>42</v>
      </c>
      <c r="B43" s="4">
        <v>12</v>
      </c>
      <c r="C43" s="4">
        <v>4</v>
      </c>
      <c r="D43" s="4">
        <v>6</v>
      </c>
      <c r="E43" s="4">
        <v>22</v>
      </c>
      <c r="F43" s="3">
        <v>54.545454545454547</v>
      </c>
      <c r="G43" s="3">
        <v>18.18181818181818</v>
      </c>
      <c r="H43" s="3">
        <v>27.27272727272727</v>
      </c>
    </row>
    <row r="44" spans="1:8" ht="17.25" customHeight="1" x14ac:dyDescent="0.2">
      <c r="A44" s="4">
        <v>43</v>
      </c>
      <c r="B44" s="4">
        <v>11</v>
      </c>
      <c r="C44" s="4">
        <v>6</v>
      </c>
      <c r="D44" s="4">
        <v>3</v>
      </c>
      <c r="E44" s="4">
        <v>20</v>
      </c>
      <c r="F44" s="4">
        <v>55</v>
      </c>
      <c r="G44" s="4">
        <v>30</v>
      </c>
      <c r="H44" s="4">
        <v>15</v>
      </c>
    </row>
    <row r="45" spans="1:8" ht="17.25" customHeight="1" x14ac:dyDescent="0.2">
      <c r="A45" s="4">
        <v>44</v>
      </c>
      <c r="B45" s="4">
        <v>11</v>
      </c>
      <c r="C45" s="4">
        <v>5</v>
      </c>
      <c r="D45" s="4">
        <v>3</v>
      </c>
      <c r="E45" s="4">
        <v>19</v>
      </c>
      <c r="F45" s="3">
        <v>57.89473684210526</v>
      </c>
      <c r="G45" s="3">
        <v>26.315789473684209</v>
      </c>
      <c r="H45" s="3">
        <v>15.789473684210529</v>
      </c>
    </row>
    <row r="46" spans="1:8" ht="17.25" customHeight="1" x14ac:dyDescent="0.2">
      <c r="A46" s="4">
        <v>45</v>
      </c>
      <c r="B46" s="4">
        <v>11</v>
      </c>
      <c r="C46" s="4">
        <v>4</v>
      </c>
      <c r="D46" s="4">
        <v>5</v>
      </c>
      <c r="E46" s="4">
        <v>20</v>
      </c>
      <c r="F46" s="4">
        <v>55</v>
      </c>
      <c r="G46" s="4">
        <v>20</v>
      </c>
      <c r="H46" s="4">
        <v>25</v>
      </c>
    </row>
    <row r="47" spans="1:8" ht="17.25" customHeight="1" x14ac:dyDescent="0.2">
      <c r="A47" s="4">
        <v>46</v>
      </c>
      <c r="B47" s="4">
        <v>10</v>
      </c>
      <c r="C47" s="4">
        <v>7</v>
      </c>
      <c r="D47" s="4">
        <v>1</v>
      </c>
      <c r="E47" s="4">
        <v>18</v>
      </c>
      <c r="F47" s="3">
        <v>55.555555555555557</v>
      </c>
      <c r="G47" s="3">
        <v>38.888888888888893</v>
      </c>
      <c r="H47" s="3">
        <v>5.5555555555555554</v>
      </c>
    </row>
    <row r="48" spans="1:8" ht="17.25" customHeight="1" x14ac:dyDescent="0.2">
      <c r="A48" s="4">
        <v>47</v>
      </c>
      <c r="B48" s="4">
        <v>13</v>
      </c>
      <c r="C48" s="4">
        <v>8</v>
      </c>
      <c r="D48" s="4">
        <v>1</v>
      </c>
      <c r="E48" s="4">
        <v>22</v>
      </c>
      <c r="F48" s="3">
        <v>59.090909090909093</v>
      </c>
      <c r="G48" s="3">
        <v>36.363636363636367</v>
      </c>
      <c r="H48" s="3">
        <v>4.5454545454545459</v>
      </c>
    </row>
    <row r="49" spans="1:8" ht="17.25" customHeight="1" x14ac:dyDescent="0.2">
      <c r="A49" s="4">
        <v>48</v>
      </c>
      <c r="B49" s="4">
        <v>10</v>
      </c>
      <c r="C49" s="4">
        <v>5</v>
      </c>
      <c r="D49" s="4">
        <v>6</v>
      </c>
      <c r="E49" s="4">
        <v>21</v>
      </c>
      <c r="F49" s="3">
        <v>47.61904761904762</v>
      </c>
      <c r="G49" s="3">
        <v>23.80952380952381</v>
      </c>
      <c r="H49" s="3">
        <v>28.571428571428569</v>
      </c>
    </row>
    <row r="50" spans="1:8" ht="17.25" customHeight="1" x14ac:dyDescent="0.2">
      <c r="A50" s="4">
        <v>49</v>
      </c>
      <c r="B50" s="4">
        <v>11</v>
      </c>
      <c r="C50" s="4">
        <v>5</v>
      </c>
      <c r="D50" s="4">
        <v>3</v>
      </c>
      <c r="E50" s="4">
        <v>19</v>
      </c>
      <c r="F50" s="3">
        <v>57.89473684210526</v>
      </c>
      <c r="G50" s="3">
        <v>26.315789473684209</v>
      </c>
      <c r="H50" s="3">
        <v>15.789473684210529</v>
      </c>
    </row>
    <row r="51" spans="1:8" ht="17.25" customHeight="1" x14ac:dyDescent="0.2">
      <c r="A51" s="4">
        <v>50</v>
      </c>
      <c r="B51" s="4">
        <v>9</v>
      </c>
      <c r="C51" s="4">
        <v>6</v>
      </c>
      <c r="D51" s="4">
        <v>4</v>
      </c>
      <c r="E51" s="4">
        <v>19</v>
      </c>
      <c r="F51" s="3">
        <v>47.368421052631582</v>
      </c>
      <c r="G51" s="3">
        <v>31.578947368421051</v>
      </c>
      <c r="H51" s="3">
        <v>21.05263157894737</v>
      </c>
    </row>
    <row r="52" spans="1:8" ht="17.25" customHeight="1" x14ac:dyDescent="0.2">
      <c r="A52" s="4">
        <v>51</v>
      </c>
      <c r="B52" s="4">
        <v>12</v>
      </c>
      <c r="C52" s="4">
        <v>4</v>
      </c>
      <c r="D52" s="4">
        <v>3</v>
      </c>
      <c r="E52" s="4">
        <v>19</v>
      </c>
      <c r="F52" s="3">
        <v>63.157894736842103</v>
      </c>
      <c r="G52" s="3">
        <v>21.05263157894737</v>
      </c>
      <c r="H52" s="3">
        <v>15.789473684210529</v>
      </c>
    </row>
    <row r="53" spans="1:8" ht="17.25" customHeight="1" x14ac:dyDescent="0.2">
      <c r="A53" s="4">
        <v>52</v>
      </c>
      <c r="B53" s="4">
        <v>9</v>
      </c>
      <c r="C53" s="4">
        <v>4</v>
      </c>
      <c r="D53" s="4">
        <v>3</v>
      </c>
      <c r="E53" s="4">
        <v>16</v>
      </c>
      <c r="F53" s="3">
        <v>56.25</v>
      </c>
      <c r="G53" s="4">
        <v>25</v>
      </c>
      <c r="H53" s="3">
        <v>18.75</v>
      </c>
    </row>
    <row r="54" spans="1:8" ht="17.25" customHeight="1" x14ac:dyDescent="0.2">
      <c r="A54" s="4">
        <v>53</v>
      </c>
      <c r="B54" s="4">
        <v>9</v>
      </c>
      <c r="C54" s="4">
        <v>6</v>
      </c>
      <c r="D54" s="4">
        <v>2</v>
      </c>
      <c r="E54" s="4">
        <v>17</v>
      </c>
      <c r="F54" s="3">
        <v>52.941176470588232</v>
      </c>
      <c r="G54" s="3">
        <v>35.294117647058833</v>
      </c>
      <c r="H54" s="3">
        <v>11.76470588235294</v>
      </c>
    </row>
    <row r="55" spans="1:8" ht="17.25" customHeight="1" x14ac:dyDescent="0.2">
      <c r="A55" s="4">
        <v>54</v>
      </c>
      <c r="B55" s="4">
        <v>12</v>
      </c>
      <c r="C55" s="4">
        <v>5</v>
      </c>
      <c r="D55" s="4">
        <v>3</v>
      </c>
      <c r="E55" s="4">
        <v>20</v>
      </c>
      <c r="F55" s="4">
        <v>60</v>
      </c>
      <c r="G55" s="4">
        <v>25</v>
      </c>
      <c r="H55" s="4">
        <v>15</v>
      </c>
    </row>
    <row r="56" spans="1:8" ht="17.25" customHeight="1" x14ac:dyDescent="0.2">
      <c r="A56" s="4">
        <v>55</v>
      </c>
      <c r="B56" s="4">
        <v>11</v>
      </c>
      <c r="C56" s="4">
        <v>4</v>
      </c>
      <c r="D56" s="4">
        <v>4</v>
      </c>
      <c r="E56" s="4">
        <v>19</v>
      </c>
      <c r="F56" s="3">
        <v>57.89473684210526</v>
      </c>
      <c r="G56" s="3">
        <v>21.05263157894737</v>
      </c>
      <c r="H56" s="3">
        <v>21.05263157894737</v>
      </c>
    </row>
    <row r="57" spans="1:8" ht="17.25" customHeight="1" x14ac:dyDescent="0.2">
      <c r="A57" s="4">
        <v>56</v>
      </c>
      <c r="B57" s="4">
        <v>11</v>
      </c>
      <c r="C57" s="4">
        <v>6</v>
      </c>
      <c r="D57" s="4">
        <v>4</v>
      </c>
      <c r="E57" s="4">
        <v>21</v>
      </c>
      <c r="F57" s="3">
        <v>52.38095238095238</v>
      </c>
      <c r="G57" s="3">
        <v>28.571428571428569</v>
      </c>
      <c r="H57" s="3">
        <v>19.047619047619051</v>
      </c>
    </row>
    <row r="58" spans="1:8" ht="17.25" customHeight="1" x14ac:dyDescent="0.2">
      <c r="A58" s="4">
        <v>57</v>
      </c>
      <c r="B58" s="4">
        <v>11</v>
      </c>
      <c r="C58" s="4">
        <v>6</v>
      </c>
      <c r="D58" s="4">
        <v>4</v>
      </c>
      <c r="E58" s="4">
        <v>21</v>
      </c>
      <c r="F58" s="3">
        <v>52.38095238095238</v>
      </c>
      <c r="G58" s="3">
        <v>28.571428571428569</v>
      </c>
      <c r="H58" s="3">
        <v>19.047619047619051</v>
      </c>
    </row>
    <row r="59" spans="1:8" ht="17.25" customHeight="1" x14ac:dyDescent="0.2">
      <c r="A59" s="4">
        <v>58</v>
      </c>
      <c r="B59" s="4">
        <v>9</v>
      </c>
      <c r="C59" s="4">
        <v>7</v>
      </c>
      <c r="D59" s="4">
        <v>4</v>
      </c>
      <c r="E59" s="4">
        <v>20</v>
      </c>
      <c r="F59" s="4">
        <v>45</v>
      </c>
      <c r="G59" s="4">
        <v>35</v>
      </c>
      <c r="H59" s="4">
        <v>20</v>
      </c>
    </row>
    <row r="60" spans="1:8" ht="17.25" customHeight="1" x14ac:dyDescent="0.2">
      <c r="A60" s="4">
        <v>59</v>
      </c>
      <c r="B60" s="4">
        <v>11</v>
      </c>
      <c r="C60" s="4">
        <v>6</v>
      </c>
      <c r="D60" s="4">
        <v>2</v>
      </c>
      <c r="E60" s="4">
        <v>19</v>
      </c>
      <c r="F60" s="3">
        <v>57.89473684210526</v>
      </c>
      <c r="G60" s="3">
        <v>31.578947368421051</v>
      </c>
      <c r="H60" s="3">
        <v>10.52631578947368</v>
      </c>
    </row>
    <row r="61" spans="1:8" ht="17.25" customHeight="1" x14ac:dyDescent="0.2">
      <c r="A61" s="4">
        <v>60</v>
      </c>
      <c r="B61" s="4">
        <v>12</v>
      </c>
      <c r="C61" s="4">
        <v>4</v>
      </c>
      <c r="D61" s="4">
        <v>4</v>
      </c>
      <c r="E61" s="4">
        <v>20</v>
      </c>
      <c r="F61" s="4">
        <v>60</v>
      </c>
      <c r="G61" s="4">
        <v>20</v>
      </c>
      <c r="H61" s="4">
        <v>20</v>
      </c>
    </row>
    <row r="62" spans="1:8" ht="17.25" customHeight="1" x14ac:dyDescent="0.2">
      <c r="A62" s="4">
        <v>61</v>
      </c>
      <c r="B62" s="4">
        <v>12</v>
      </c>
      <c r="C62" s="4">
        <v>6</v>
      </c>
      <c r="D62" s="4">
        <v>4</v>
      </c>
      <c r="E62" s="4">
        <v>22</v>
      </c>
      <c r="F62" s="3">
        <v>54.545454545454547</v>
      </c>
      <c r="G62" s="3">
        <v>27.27272727272727</v>
      </c>
      <c r="H62" s="3">
        <v>18.18181818181818</v>
      </c>
    </row>
    <row r="63" spans="1:8" ht="17.25" customHeight="1" x14ac:dyDescent="0.2">
      <c r="A63" s="4">
        <v>62</v>
      </c>
      <c r="B63" s="4">
        <v>13</v>
      </c>
      <c r="C63" s="4">
        <v>5</v>
      </c>
      <c r="D63" s="4">
        <v>2</v>
      </c>
      <c r="E63" s="4">
        <v>20</v>
      </c>
      <c r="F63" s="4">
        <v>65</v>
      </c>
      <c r="G63" s="4">
        <v>25</v>
      </c>
      <c r="H63" s="4">
        <v>10</v>
      </c>
    </row>
    <row r="64" spans="1:8" ht="17.25" customHeight="1" x14ac:dyDescent="0.2">
      <c r="A64" s="4">
        <v>63</v>
      </c>
      <c r="B64" s="4">
        <v>10</v>
      </c>
      <c r="C64" s="4">
        <v>5</v>
      </c>
      <c r="D64" s="4">
        <v>2</v>
      </c>
      <c r="E64" s="4">
        <v>17</v>
      </c>
      <c r="F64" s="3">
        <v>58.823529411764703</v>
      </c>
      <c r="G64" s="3">
        <v>29.411764705882351</v>
      </c>
      <c r="H64" s="3">
        <v>11.76470588235294</v>
      </c>
    </row>
    <row r="65" spans="1:8" ht="17.25" customHeight="1" x14ac:dyDescent="0.2">
      <c r="A65" s="4">
        <v>64</v>
      </c>
      <c r="B65" s="4">
        <v>11</v>
      </c>
      <c r="C65" s="4">
        <v>7</v>
      </c>
      <c r="D65" s="4">
        <v>3</v>
      </c>
      <c r="E65" s="4">
        <v>21</v>
      </c>
      <c r="F65" s="3">
        <v>52.38095238095238</v>
      </c>
      <c r="G65" s="3">
        <v>33.333333333333343</v>
      </c>
      <c r="H65" s="3">
        <v>14.28571428571429</v>
      </c>
    </row>
    <row r="66" spans="1:8" ht="17.25" customHeight="1" x14ac:dyDescent="0.2">
      <c r="A66" s="4">
        <v>65</v>
      </c>
      <c r="B66" s="4">
        <v>11</v>
      </c>
      <c r="C66" s="4">
        <v>5</v>
      </c>
      <c r="D66" s="4">
        <v>4</v>
      </c>
      <c r="E66" s="4">
        <v>20</v>
      </c>
      <c r="F66" s="4">
        <v>55</v>
      </c>
      <c r="G66" s="4">
        <v>25</v>
      </c>
      <c r="H66" s="4">
        <v>20</v>
      </c>
    </row>
    <row r="67" spans="1:8" ht="17.25" customHeight="1" x14ac:dyDescent="0.2">
      <c r="A67" s="4">
        <v>66</v>
      </c>
      <c r="B67" s="4">
        <v>13</v>
      </c>
      <c r="C67" s="4">
        <v>6</v>
      </c>
      <c r="D67" s="4">
        <v>1</v>
      </c>
      <c r="E67" s="4">
        <v>20</v>
      </c>
      <c r="F67" s="4">
        <v>65</v>
      </c>
      <c r="G67" s="4">
        <v>30</v>
      </c>
      <c r="H67" s="4">
        <v>5</v>
      </c>
    </row>
    <row r="68" spans="1:8" ht="17.25" customHeight="1" x14ac:dyDescent="0.2">
      <c r="A68" s="4">
        <v>67</v>
      </c>
      <c r="B68" s="4">
        <v>10</v>
      </c>
      <c r="C68" s="4">
        <v>7</v>
      </c>
      <c r="D68" s="4">
        <v>4</v>
      </c>
      <c r="E68" s="4">
        <v>21</v>
      </c>
      <c r="F68" s="3">
        <v>47.61904761904762</v>
      </c>
      <c r="G68" s="3">
        <v>33.333333333333343</v>
      </c>
      <c r="H68" s="3">
        <v>19.047619047619051</v>
      </c>
    </row>
    <row r="69" spans="1:8" ht="17.25" customHeight="1" x14ac:dyDescent="0.2">
      <c r="A69" s="4">
        <v>68</v>
      </c>
      <c r="B69" s="4">
        <v>11</v>
      </c>
      <c r="C69" s="4">
        <v>5</v>
      </c>
      <c r="D69" s="4">
        <v>5</v>
      </c>
      <c r="E69" s="4">
        <v>21</v>
      </c>
      <c r="F69" s="3">
        <v>52.38095238095238</v>
      </c>
      <c r="G69" s="3">
        <v>23.80952380952381</v>
      </c>
      <c r="H69" s="3">
        <v>23.80952380952381</v>
      </c>
    </row>
    <row r="70" spans="1:8" ht="17.25" customHeight="1" x14ac:dyDescent="0.2">
      <c r="A70" s="4">
        <v>69</v>
      </c>
      <c r="B70" s="4">
        <v>10</v>
      </c>
      <c r="C70" s="4">
        <v>9</v>
      </c>
      <c r="D70" s="4">
        <v>1</v>
      </c>
      <c r="E70" s="4">
        <v>20</v>
      </c>
      <c r="F70" s="4">
        <v>50</v>
      </c>
      <c r="G70" s="4">
        <v>45</v>
      </c>
      <c r="H70" s="4">
        <v>5</v>
      </c>
    </row>
    <row r="71" spans="1:8" ht="17.25" customHeight="1" x14ac:dyDescent="0.2">
      <c r="A71" s="4">
        <v>70</v>
      </c>
      <c r="B71" s="4">
        <v>11</v>
      </c>
      <c r="C71" s="4">
        <v>6</v>
      </c>
      <c r="D71" s="4">
        <v>4</v>
      </c>
      <c r="E71" s="4">
        <v>21</v>
      </c>
      <c r="F71" s="3">
        <v>52.38095238095238</v>
      </c>
      <c r="G71" s="3">
        <v>28.571428571428569</v>
      </c>
      <c r="H71" s="3">
        <v>19.047619047619051</v>
      </c>
    </row>
    <row r="72" spans="1:8" ht="17.25" customHeight="1" x14ac:dyDescent="0.2">
      <c r="A72" s="4">
        <v>71</v>
      </c>
      <c r="B72" s="4">
        <v>10</v>
      </c>
      <c r="C72" s="4">
        <v>8</v>
      </c>
      <c r="D72" s="4">
        <v>4</v>
      </c>
      <c r="E72" s="4">
        <v>22</v>
      </c>
      <c r="F72" s="3">
        <v>45.454545454545453</v>
      </c>
      <c r="G72" s="3">
        <v>36.363636363636367</v>
      </c>
      <c r="H72" s="3">
        <v>18.18181818181818</v>
      </c>
    </row>
    <row r="73" spans="1:8" ht="17.25" customHeight="1" x14ac:dyDescent="0.2">
      <c r="A73" s="4">
        <v>72</v>
      </c>
      <c r="B73" s="4">
        <v>13</v>
      </c>
      <c r="C73" s="4">
        <v>6</v>
      </c>
      <c r="D73" s="4">
        <v>1</v>
      </c>
      <c r="E73" s="4">
        <v>20</v>
      </c>
      <c r="F73" s="4">
        <v>65</v>
      </c>
      <c r="G73" s="4">
        <v>30</v>
      </c>
      <c r="H73" s="4">
        <v>5</v>
      </c>
    </row>
    <row r="74" spans="1:8" ht="17.25" customHeight="1" x14ac:dyDescent="0.2">
      <c r="A74" s="4">
        <v>73</v>
      </c>
      <c r="B74" s="4">
        <v>12</v>
      </c>
      <c r="C74" s="4">
        <v>6</v>
      </c>
      <c r="D74" s="4">
        <v>2</v>
      </c>
      <c r="E74" s="4">
        <v>20</v>
      </c>
      <c r="F74" s="4">
        <v>60</v>
      </c>
      <c r="G74" s="4">
        <v>30</v>
      </c>
      <c r="H74" s="4">
        <v>10</v>
      </c>
    </row>
    <row r="75" spans="1:8" ht="17.25" customHeight="1" x14ac:dyDescent="0.2">
      <c r="A75" s="4">
        <v>74</v>
      </c>
      <c r="B75" s="4">
        <v>11</v>
      </c>
      <c r="C75" s="4">
        <v>8</v>
      </c>
      <c r="D75" s="4">
        <v>1</v>
      </c>
      <c r="E75" s="4">
        <v>20</v>
      </c>
      <c r="F75" s="4">
        <v>55</v>
      </c>
      <c r="G75" s="4">
        <v>40</v>
      </c>
      <c r="H75" s="4">
        <v>5</v>
      </c>
    </row>
    <row r="76" spans="1:8" ht="17.25" customHeight="1" x14ac:dyDescent="0.2">
      <c r="A76" s="4">
        <v>75</v>
      </c>
      <c r="B76" s="4">
        <v>9</v>
      </c>
      <c r="C76" s="4">
        <v>7</v>
      </c>
      <c r="D76" s="4">
        <v>3</v>
      </c>
      <c r="E76" s="4">
        <v>19</v>
      </c>
      <c r="F76" s="3">
        <v>47.368421052631582</v>
      </c>
      <c r="G76" s="3">
        <v>36.842105263157897</v>
      </c>
      <c r="H76" s="3">
        <v>15.789473684210529</v>
      </c>
    </row>
    <row r="77" spans="1:8" ht="17.25" customHeight="1" x14ac:dyDescent="0.2">
      <c r="A77" s="4">
        <v>76</v>
      </c>
      <c r="B77" s="4">
        <v>10</v>
      </c>
      <c r="C77" s="4">
        <v>5</v>
      </c>
      <c r="D77" s="4">
        <v>2</v>
      </c>
      <c r="E77" s="4">
        <v>17</v>
      </c>
      <c r="F77" s="3">
        <v>58.823529411764703</v>
      </c>
      <c r="G77" s="3">
        <v>29.411764705882351</v>
      </c>
      <c r="H77" s="3">
        <v>11.76470588235294</v>
      </c>
    </row>
    <row r="78" spans="1:8" ht="17.25" customHeight="1" x14ac:dyDescent="0.2">
      <c r="A78" s="4">
        <v>77</v>
      </c>
      <c r="B78" s="4">
        <v>9</v>
      </c>
      <c r="C78" s="4">
        <v>5</v>
      </c>
      <c r="D78" s="4">
        <v>3</v>
      </c>
      <c r="E78" s="4">
        <v>17</v>
      </c>
      <c r="F78" s="3">
        <v>52.941176470588232</v>
      </c>
      <c r="G78" s="3">
        <v>29.411764705882351</v>
      </c>
      <c r="H78" s="3">
        <v>17.647058823529409</v>
      </c>
    </row>
    <row r="79" spans="1:8" ht="17.25" customHeight="1" x14ac:dyDescent="0.2">
      <c r="A79" s="4">
        <v>78</v>
      </c>
      <c r="B79" s="4">
        <v>12</v>
      </c>
      <c r="C79" s="4">
        <v>5</v>
      </c>
      <c r="D79" s="4">
        <v>1</v>
      </c>
      <c r="E79" s="4">
        <v>18</v>
      </c>
      <c r="F79" s="3">
        <v>66.666666666666671</v>
      </c>
      <c r="G79" s="3">
        <v>27.777777777777779</v>
      </c>
      <c r="H79" s="3">
        <v>5.5555555555555554</v>
      </c>
    </row>
    <row r="80" spans="1:8" ht="17.25" customHeight="1" x14ac:dyDescent="0.2">
      <c r="A80" s="4">
        <v>79</v>
      </c>
      <c r="B80" s="4">
        <v>10</v>
      </c>
      <c r="C80" s="4">
        <v>7</v>
      </c>
      <c r="D80" s="4">
        <v>4</v>
      </c>
      <c r="E80" s="4">
        <v>21</v>
      </c>
      <c r="F80" s="3">
        <v>47.61904761904762</v>
      </c>
      <c r="G80" s="3">
        <v>33.333333333333343</v>
      </c>
      <c r="H80" s="3">
        <v>19.047619047619051</v>
      </c>
    </row>
    <row r="81" spans="1:8" ht="17.25" customHeight="1" x14ac:dyDescent="0.2">
      <c r="A81" s="4">
        <v>80</v>
      </c>
      <c r="B81" s="4">
        <v>9</v>
      </c>
      <c r="C81" s="4">
        <v>8</v>
      </c>
      <c r="D81" s="4">
        <v>3</v>
      </c>
      <c r="E81" s="4">
        <v>20</v>
      </c>
      <c r="F81" s="4">
        <v>45</v>
      </c>
      <c r="G81" s="4">
        <v>40</v>
      </c>
      <c r="H81" s="4">
        <v>15</v>
      </c>
    </row>
    <row r="82" spans="1:8" ht="17.25" customHeight="1" x14ac:dyDescent="0.2">
      <c r="A82" s="4">
        <v>81</v>
      </c>
      <c r="B82" s="4">
        <v>10</v>
      </c>
      <c r="C82" s="4">
        <v>8</v>
      </c>
      <c r="D82" s="4">
        <v>2</v>
      </c>
      <c r="E82" s="4">
        <v>20</v>
      </c>
      <c r="F82" s="4">
        <v>50</v>
      </c>
      <c r="G82" s="4">
        <v>40</v>
      </c>
      <c r="H82" s="4">
        <v>10</v>
      </c>
    </row>
    <row r="83" spans="1:8" ht="17.25" customHeight="1" x14ac:dyDescent="0.2">
      <c r="A83" s="4">
        <v>82</v>
      </c>
      <c r="B83" s="4">
        <v>8</v>
      </c>
      <c r="C83" s="4">
        <v>7</v>
      </c>
      <c r="D83" s="4">
        <v>3</v>
      </c>
      <c r="E83" s="4">
        <v>18</v>
      </c>
      <c r="F83" s="3">
        <v>44.444444444444443</v>
      </c>
      <c r="G83" s="3">
        <v>38.888888888888893</v>
      </c>
      <c r="H83" s="3">
        <v>16.666666666666671</v>
      </c>
    </row>
    <row r="84" spans="1:8" ht="17.25" customHeight="1" x14ac:dyDescent="0.2">
      <c r="A84" s="4">
        <v>83</v>
      </c>
      <c r="B84" s="4">
        <v>9</v>
      </c>
      <c r="C84" s="4">
        <v>8</v>
      </c>
      <c r="D84" s="4">
        <v>3</v>
      </c>
      <c r="E84" s="4">
        <v>20</v>
      </c>
      <c r="F84" s="4">
        <v>45</v>
      </c>
      <c r="G84" s="4">
        <v>40</v>
      </c>
      <c r="H84" s="4">
        <v>15</v>
      </c>
    </row>
    <row r="85" spans="1:8" ht="17.25" customHeight="1" x14ac:dyDescent="0.2">
      <c r="A85" s="4">
        <v>84</v>
      </c>
      <c r="B85" s="4">
        <v>10</v>
      </c>
      <c r="C85" s="4">
        <v>6</v>
      </c>
      <c r="D85" s="4">
        <v>2</v>
      </c>
      <c r="E85" s="4">
        <v>18</v>
      </c>
      <c r="F85" s="3">
        <v>55.555555555555557</v>
      </c>
      <c r="G85" s="3">
        <v>33.333333333333343</v>
      </c>
      <c r="H85" s="3">
        <v>11.111111111111111</v>
      </c>
    </row>
    <row r="86" spans="1:8" ht="17.25" customHeight="1" x14ac:dyDescent="0.2">
      <c r="A86" s="4">
        <v>85</v>
      </c>
      <c r="B86" s="4">
        <v>10</v>
      </c>
      <c r="C86" s="4">
        <v>5</v>
      </c>
      <c r="D86" s="4">
        <v>2</v>
      </c>
      <c r="E86" s="4">
        <v>17</v>
      </c>
      <c r="F86" s="3">
        <v>58.823529411764703</v>
      </c>
      <c r="G86" s="3">
        <v>29.411764705882351</v>
      </c>
      <c r="H86" s="3">
        <v>11.76470588235294</v>
      </c>
    </row>
    <row r="87" spans="1:8" ht="17.25" customHeight="1" x14ac:dyDescent="0.2">
      <c r="A87" s="4">
        <v>86</v>
      </c>
      <c r="B87" s="4">
        <v>12</v>
      </c>
      <c r="C87" s="4">
        <v>5</v>
      </c>
      <c r="D87" s="4">
        <v>3</v>
      </c>
      <c r="E87" s="4">
        <v>20</v>
      </c>
      <c r="F87" s="4">
        <v>60</v>
      </c>
      <c r="G87" s="4">
        <v>25</v>
      </c>
      <c r="H87" s="4">
        <v>15</v>
      </c>
    </row>
    <row r="88" spans="1:8" ht="17.25" customHeight="1" x14ac:dyDescent="0.2">
      <c r="A88" s="4">
        <v>87</v>
      </c>
      <c r="B88" s="4">
        <v>10</v>
      </c>
      <c r="C88" s="4">
        <v>8</v>
      </c>
      <c r="D88" s="4">
        <v>2</v>
      </c>
      <c r="E88" s="4">
        <v>20</v>
      </c>
      <c r="F88" s="4">
        <v>50</v>
      </c>
      <c r="G88" s="4">
        <v>40</v>
      </c>
      <c r="H88" s="4">
        <v>10</v>
      </c>
    </row>
    <row r="89" spans="1:8" ht="17.25" customHeight="1" x14ac:dyDescent="0.2">
      <c r="A89" s="4">
        <v>88</v>
      </c>
      <c r="B89" s="4">
        <v>12</v>
      </c>
      <c r="C89" s="4">
        <v>6</v>
      </c>
      <c r="D89" s="4">
        <v>1</v>
      </c>
      <c r="E89" s="4">
        <v>19</v>
      </c>
      <c r="F89" s="3">
        <v>63.157894736842103</v>
      </c>
      <c r="G89" s="3">
        <v>31.578947368421051</v>
      </c>
      <c r="H89" s="3">
        <v>5.2631578947368416</v>
      </c>
    </row>
    <row r="90" spans="1:8" ht="17.25" customHeight="1" x14ac:dyDescent="0.2">
      <c r="A90" s="4">
        <v>89</v>
      </c>
      <c r="B90" s="4">
        <v>11</v>
      </c>
      <c r="C90" s="4">
        <v>7</v>
      </c>
      <c r="D90" s="4">
        <v>2</v>
      </c>
      <c r="E90" s="4">
        <v>20</v>
      </c>
      <c r="F90" s="4">
        <v>55</v>
      </c>
      <c r="G90" s="4">
        <v>35</v>
      </c>
      <c r="H90" s="4">
        <v>10</v>
      </c>
    </row>
    <row r="91" spans="1:8" ht="17.25" customHeight="1" x14ac:dyDescent="0.2">
      <c r="A91" s="4">
        <v>90</v>
      </c>
      <c r="B91" s="4">
        <v>9</v>
      </c>
      <c r="C91" s="4">
        <v>4</v>
      </c>
      <c r="D91" s="4">
        <v>4</v>
      </c>
      <c r="E91" s="4">
        <v>17</v>
      </c>
      <c r="F91" s="3">
        <v>52.941176470588232</v>
      </c>
      <c r="G91" s="3">
        <v>23.52941176470588</v>
      </c>
      <c r="H91" s="3">
        <v>23.52941176470588</v>
      </c>
    </row>
    <row r="92" spans="1:8" ht="17.25" customHeight="1" x14ac:dyDescent="0.2">
      <c r="A92" s="4">
        <v>91</v>
      </c>
      <c r="B92" s="4">
        <v>11</v>
      </c>
      <c r="C92" s="4">
        <v>6</v>
      </c>
      <c r="D92" s="4">
        <v>5</v>
      </c>
      <c r="E92" s="4">
        <v>22</v>
      </c>
      <c r="F92" s="4">
        <v>50</v>
      </c>
      <c r="G92" s="3">
        <v>27.27272727272727</v>
      </c>
      <c r="H92" s="3">
        <v>22.72727272727273</v>
      </c>
    </row>
    <row r="93" spans="1:8" ht="17.25" customHeight="1" x14ac:dyDescent="0.2">
      <c r="A93" s="4">
        <v>92</v>
      </c>
      <c r="B93" s="4">
        <v>10</v>
      </c>
      <c r="C93" s="4">
        <v>3</v>
      </c>
      <c r="D93" s="4">
        <v>4</v>
      </c>
      <c r="E93" s="4">
        <v>17</v>
      </c>
      <c r="F93" s="3">
        <v>58.823529411764703</v>
      </c>
      <c r="G93" s="3">
        <v>17.647058823529409</v>
      </c>
      <c r="H93" s="3">
        <v>23.52941176470588</v>
      </c>
    </row>
    <row r="94" spans="1:8" ht="17.25" customHeight="1" x14ac:dyDescent="0.2">
      <c r="A94" s="4">
        <v>93</v>
      </c>
      <c r="B94" s="4">
        <v>11</v>
      </c>
      <c r="C94" s="4">
        <v>6</v>
      </c>
      <c r="D94" s="4">
        <v>3</v>
      </c>
      <c r="E94" s="4">
        <v>20</v>
      </c>
      <c r="F94" s="4">
        <v>55</v>
      </c>
      <c r="G94" s="4">
        <v>30</v>
      </c>
      <c r="H94" s="4">
        <v>15</v>
      </c>
    </row>
    <row r="95" spans="1:8" ht="17.25" customHeight="1" x14ac:dyDescent="0.2">
      <c r="A95" s="4">
        <v>94</v>
      </c>
      <c r="B95" s="4">
        <v>11</v>
      </c>
      <c r="C95" s="4">
        <v>6</v>
      </c>
      <c r="D95" s="4">
        <v>4</v>
      </c>
      <c r="E95" s="4">
        <v>21</v>
      </c>
      <c r="F95" s="3">
        <v>52.38095238095238</v>
      </c>
      <c r="G95" s="3">
        <v>28.571428571428569</v>
      </c>
      <c r="H95" s="3">
        <v>19.047619047619051</v>
      </c>
    </row>
    <row r="96" spans="1:8" ht="17.25" customHeight="1" x14ac:dyDescent="0.2">
      <c r="A96" s="4">
        <v>95</v>
      </c>
      <c r="B96" s="4">
        <v>11</v>
      </c>
      <c r="C96" s="4">
        <v>5</v>
      </c>
      <c r="D96" s="4">
        <v>2</v>
      </c>
      <c r="E96" s="4">
        <v>18</v>
      </c>
      <c r="F96" s="3">
        <v>61.111111111111107</v>
      </c>
      <c r="G96" s="3">
        <v>27.777777777777779</v>
      </c>
      <c r="H96" s="3">
        <v>11.111111111111111</v>
      </c>
    </row>
    <row r="97" spans="1:8" ht="17.25" customHeight="1" x14ac:dyDescent="0.2">
      <c r="A97" s="4">
        <v>96</v>
      </c>
      <c r="B97" s="4">
        <v>13</v>
      </c>
      <c r="C97" s="4">
        <v>7</v>
      </c>
      <c r="D97" s="4">
        <v>2</v>
      </c>
      <c r="E97" s="4">
        <v>22</v>
      </c>
      <c r="F97" s="3">
        <v>59.090909090909093</v>
      </c>
      <c r="G97" s="3">
        <v>31.81818181818182</v>
      </c>
      <c r="H97" s="3">
        <v>9.0909090909090917</v>
      </c>
    </row>
    <row r="98" spans="1:8" ht="17.25" customHeight="1" x14ac:dyDescent="0.2">
      <c r="A98" s="4">
        <v>97</v>
      </c>
      <c r="B98" s="4">
        <v>9</v>
      </c>
      <c r="C98" s="4">
        <v>5</v>
      </c>
      <c r="D98" s="4">
        <v>6</v>
      </c>
      <c r="E98" s="4">
        <v>20</v>
      </c>
      <c r="F98" s="4">
        <v>45</v>
      </c>
      <c r="G98" s="4">
        <v>25</v>
      </c>
      <c r="H98" s="4">
        <v>30</v>
      </c>
    </row>
    <row r="99" spans="1:8" ht="17.25" customHeight="1" x14ac:dyDescent="0.2">
      <c r="A99" s="4">
        <v>98</v>
      </c>
      <c r="B99" s="4">
        <v>10</v>
      </c>
      <c r="C99" s="4">
        <v>5</v>
      </c>
      <c r="D99" s="4">
        <v>6</v>
      </c>
      <c r="E99" s="4">
        <v>21</v>
      </c>
      <c r="F99" s="3">
        <v>47.61904761904762</v>
      </c>
      <c r="G99" s="3">
        <v>23.80952380952381</v>
      </c>
      <c r="H99" s="3">
        <v>28.571428571428569</v>
      </c>
    </row>
    <row r="100" spans="1:8" ht="17.25" customHeight="1" x14ac:dyDescent="0.2">
      <c r="A100" s="4">
        <v>99</v>
      </c>
      <c r="B100" s="4">
        <v>14</v>
      </c>
      <c r="C100" s="4">
        <v>5</v>
      </c>
      <c r="D100" s="4">
        <v>2</v>
      </c>
      <c r="E100" s="4">
        <v>21</v>
      </c>
      <c r="F100" s="3">
        <v>66.666666666666671</v>
      </c>
      <c r="G100" s="3">
        <v>23.80952380952381</v>
      </c>
      <c r="H100" s="3">
        <v>9.5238095238095237</v>
      </c>
    </row>
    <row r="101" spans="1:8" ht="17.25" customHeight="1" x14ac:dyDescent="0.2">
      <c r="A101" s="4">
        <v>100</v>
      </c>
      <c r="B101" s="4">
        <v>8</v>
      </c>
      <c r="C101" s="4">
        <v>8</v>
      </c>
      <c r="D101" s="4">
        <v>5</v>
      </c>
      <c r="E101" s="4">
        <v>21</v>
      </c>
      <c r="F101" s="3">
        <v>38.095238095238088</v>
      </c>
      <c r="G101" s="3">
        <v>38.095238095238088</v>
      </c>
      <c r="H101" s="3">
        <v>23.80952380952381</v>
      </c>
    </row>
    <row r="102" spans="1:8" ht="17.25" customHeight="1" x14ac:dyDescent="0.2">
      <c r="A102" s="4">
        <v>101</v>
      </c>
      <c r="B102" s="4">
        <v>11</v>
      </c>
      <c r="C102" s="4">
        <v>6</v>
      </c>
      <c r="D102" s="4">
        <v>5</v>
      </c>
      <c r="E102" s="4">
        <v>22</v>
      </c>
      <c r="F102" s="4">
        <v>50</v>
      </c>
      <c r="G102" s="3">
        <v>27.27272727272727</v>
      </c>
      <c r="H102" s="3">
        <v>22.72727272727273</v>
      </c>
    </row>
    <row r="103" spans="1:8" ht="17.25" customHeight="1" x14ac:dyDescent="0.2">
      <c r="A103" s="4">
        <v>102</v>
      </c>
      <c r="B103" s="4">
        <v>11</v>
      </c>
      <c r="C103" s="4">
        <v>6</v>
      </c>
      <c r="D103" s="4">
        <v>4</v>
      </c>
      <c r="E103" s="4">
        <v>21</v>
      </c>
      <c r="F103" s="3">
        <v>52.38095238095238</v>
      </c>
      <c r="G103" s="3">
        <v>28.571428571428569</v>
      </c>
      <c r="H103" s="3">
        <v>19.047619047619051</v>
      </c>
    </row>
    <row r="104" spans="1:8" ht="17.25" customHeight="1" x14ac:dyDescent="0.2">
      <c r="A104" s="4">
        <v>103</v>
      </c>
      <c r="B104" s="4">
        <v>12</v>
      </c>
      <c r="C104" s="4">
        <v>5</v>
      </c>
      <c r="D104" s="4">
        <v>2</v>
      </c>
      <c r="E104" s="4">
        <v>19</v>
      </c>
      <c r="F104" s="3">
        <v>63.157894736842103</v>
      </c>
      <c r="G104" s="3">
        <v>26.315789473684209</v>
      </c>
      <c r="H104" s="3">
        <v>10.52631578947368</v>
      </c>
    </row>
    <row r="105" spans="1:8" ht="17.25" customHeight="1" x14ac:dyDescent="0.2">
      <c r="A105" s="4">
        <v>104</v>
      </c>
      <c r="B105" s="4">
        <v>10</v>
      </c>
      <c r="C105" s="4">
        <v>6</v>
      </c>
      <c r="D105" s="4">
        <v>0</v>
      </c>
      <c r="E105" s="4">
        <v>16</v>
      </c>
      <c r="F105" s="3">
        <v>62.5</v>
      </c>
      <c r="G105" s="3">
        <v>37.5</v>
      </c>
      <c r="H105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4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5" bestFit="1" customWidth="1"/>
  </cols>
  <sheetData>
    <row r="1" spans="1:2" ht="17.25" customHeight="1" x14ac:dyDescent="0.2">
      <c r="A1" s="1" t="s">
        <v>152</v>
      </c>
      <c r="B1" s="2" t="s">
        <v>153</v>
      </c>
    </row>
    <row r="2" spans="1:2" ht="17.25" customHeight="1" x14ac:dyDescent="0.2">
      <c r="A2" t="s">
        <v>154</v>
      </c>
      <c r="B2" s="3">
        <v>55.455396534150402</v>
      </c>
    </row>
    <row r="3" spans="1:2" ht="17.25" customHeight="1" x14ac:dyDescent="0.2">
      <c r="A3" t="s">
        <v>155</v>
      </c>
      <c r="B3" s="3">
        <v>29.714663292933409</v>
      </c>
    </row>
    <row r="4" spans="1:2" ht="17.25" customHeight="1" x14ac:dyDescent="0.2">
      <c r="A4" t="s">
        <v>156</v>
      </c>
      <c r="B4" s="3">
        <v>14.82994017291618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C3"/>
  <sheetViews>
    <sheetView workbookViewId="0"/>
  </sheetViews>
  <sheetFormatPr baseColWidth="10" defaultColWidth="8.83203125" defaultRowHeight="15" x14ac:dyDescent="0.2"/>
  <cols>
    <col min="1" max="1" width="12.5" bestFit="1" customWidth="1"/>
    <col min="2" max="2" width="12.5" style="8" bestFit="1" customWidth="1"/>
    <col min="3" max="3" width="12.5" style="5" bestFit="1" customWidth="1"/>
  </cols>
  <sheetData>
    <row r="1" spans="1:3" ht="17.25" customHeight="1" x14ac:dyDescent="0.2">
      <c r="A1" s="1" t="s">
        <v>147</v>
      </c>
      <c r="B1" s="6" t="s">
        <v>148</v>
      </c>
      <c r="C1" s="2" t="s">
        <v>149</v>
      </c>
    </row>
    <row r="2" spans="1:3" ht="17.25" customHeight="1" x14ac:dyDescent="0.2">
      <c r="A2" t="s">
        <v>150</v>
      </c>
      <c r="B2" s="4">
        <v>605</v>
      </c>
      <c r="C2" s="3">
        <v>43.462643678160923</v>
      </c>
    </row>
    <row r="3" spans="1:3" ht="17.25" customHeight="1" x14ac:dyDescent="0.2">
      <c r="A3" t="s">
        <v>151</v>
      </c>
      <c r="B3" s="4">
        <v>787</v>
      </c>
      <c r="C3" s="3">
        <v>56.537356321839077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25"/>
  <sheetViews>
    <sheetView workbookViewId="0"/>
  </sheetViews>
  <sheetFormatPr baseColWidth="10" defaultColWidth="8.83203125" defaultRowHeight="15" x14ac:dyDescent="0.2"/>
  <cols>
    <col min="1" max="2" width="12.5" style="8" bestFit="1" customWidth="1"/>
  </cols>
  <sheetData>
    <row r="1" spans="1:2" ht="17.25" customHeight="1" x14ac:dyDescent="0.2">
      <c r="A1" s="6" t="s">
        <v>145</v>
      </c>
      <c r="B1" s="6" t="s">
        <v>146</v>
      </c>
    </row>
    <row r="2" spans="1:2" ht="17.25" customHeight="1" x14ac:dyDescent="0.2">
      <c r="A2" s="4">
        <v>0</v>
      </c>
      <c r="B2" s="4">
        <v>3744</v>
      </c>
    </row>
    <row r="3" spans="1:2" ht="17.25" customHeight="1" x14ac:dyDescent="0.2">
      <c r="A3" s="4">
        <v>1</v>
      </c>
      <c r="B3" s="4">
        <v>7344</v>
      </c>
    </row>
    <row r="4" spans="1:2" ht="17.25" customHeight="1" x14ac:dyDescent="0.2">
      <c r="A4" s="4">
        <v>2</v>
      </c>
      <c r="B4" s="4">
        <v>12816</v>
      </c>
    </row>
    <row r="5" spans="1:2" ht="17.25" customHeight="1" x14ac:dyDescent="0.2">
      <c r="A5" s="4">
        <v>3</v>
      </c>
      <c r="B5" s="4">
        <v>18720</v>
      </c>
    </row>
    <row r="6" spans="1:2" ht="17.25" customHeight="1" x14ac:dyDescent="0.2">
      <c r="A6" s="4">
        <v>4</v>
      </c>
      <c r="B6" s="3">
        <v>18449.90327015569</v>
      </c>
    </row>
    <row r="7" spans="1:2" ht="17.25" customHeight="1" x14ac:dyDescent="0.2">
      <c r="A7" s="4">
        <v>5</v>
      </c>
      <c r="B7" s="3">
        <v>17124.483653394611</v>
      </c>
    </row>
    <row r="8" spans="1:2" ht="17.25" customHeight="1" x14ac:dyDescent="0.2">
      <c r="A8" s="4">
        <v>6</v>
      </c>
      <c r="B8" s="3">
        <v>15182.79397577045</v>
      </c>
    </row>
    <row r="9" spans="1:2" ht="17.25" customHeight="1" x14ac:dyDescent="0.2">
      <c r="A9" s="4">
        <v>7</v>
      </c>
      <c r="B9" s="3">
        <v>12996.51008656669</v>
      </c>
    </row>
    <row r="10" spans="1:2" ht="17.25" customHeight="1" x14ac:dyDescent="0.2">
      <c r="A10" s="4">
        <v>8</v>
      </c>
      <c r="B10" s="3">
        <v>12537.12848513819</v>
      </c>
    </row>
    <row r="11" spans="1:2" ht="17.25" customHeight="1" x14ac:dyDescent="0.2">
      <c r="A11" s="4">
        <v>9</v>
      </c>
      <c r="B11" s="3">
        <v>13588.5919496609</v>
      </c>
    </row>
    <row r="12" spans="1:2" ht="17.25" customHeight="1" x14ac:dyDescent="0.2">
      <c r="A12" s="4">
        <v>10</v>
      </c>
      <c r="B12" s="3">
        <v>14988.83257460226</v>
      </c>
    </row>
    <row r="13" spans="1:2" ht="17.25" customHeight="1" x14ac:dyDescent="0.2">
      <c r="A13" s="4">
        <v>11</v>
      </c>
      <c r="B13" s="3">
        <v>13531.419824020109</v>
      </c>
    </row>
    <row r="14" spans="1:2" ht="17.25" customHeight="1" x14ac:dyDescent="0.2">
      <c r="A14" s="4">
        <v>12</v>
      </c>
      <c r="B14" s="3">
        <v>12497.13079280734</v>
      </c>
    </row>
    <row r="15" spans="1:2" ht="17.25" customHeight="1" x14ac:dyDescent="0.2">
      <c r="A15" s="4">
        <v>13</v>
      </c>
      <c r="B15" s="3">
        <v>11213.632086050229</v>
      </c>
    </row>
    <row r="16" spans="1:2" ht="17.25" customHeight="1" x14ac:dyDescent="0.2">
      <c r="A16" s="4">
        <v>14</v>
      </c>
      <c r="B16" s="3">
        <v>8975.1467135564253</v>
      </c>
    </row>
    <row r="17" spans="1:2" ht="17.25" customHeight="1" x14ac:dyDescent="0.2">
      <c r="A17" s="4">
        <v>15</v>
      </c>
      <c r="B17" s="3">
        <v>6918.6510393066583</v>
      </c>
    </row>
    <row r="18" spans="1:2" ht="17.25" customHeight="1" x14ac:dyDescent="0.2">
      <c r="A18" s="4">
        <v>16</v>
      </c>
      <c r="B18" s="3">
        <v>6513.992956746667</v>
      </c>
    </row>
    <row r="19" spans="1:2" ht="17.25" customHeight="1" x14ac:dyDescent="0.2">
      <c r="A19" s="4">
        <v>17</v>
      </c>
      <c r="B19" s="3">
        <v>5680.3196074860271</v>
      </c>
    </row>
    <row r="20" spans="1:2" ht="17.25" customHeight="1" x14ac:dyDescent="0.2">
      <c r="A20" s="4">
        <v>18</v>
      </c>
      <c r="B20" s="3">
        <v>4982.8745811376793</v>
      </c>
    </row>
    <row r="21" spans="1:2" ht="17.25" customHeight="1" x14ac:dyDescent="0.2">
      <c r="A21" s="4">
        <v>19</v>
      </c>
      <c r="B21" s="3">
        <v>5441.4293027576141</v>
      </c>
    </row>
    <row r="22" spans="1:2" ht="17.25" customHeight="1" x14ac:dyDescent="0.2">
      <c r="A22" s="4">
        <v>20</v>
      </c>
      <c r="B22" s="3">
        <v>5037.5813202744748</v>
      </c>
    </row>
    <row r="23" spans="1:2" ht="17.25" customHeight="1" x14ac:dyDescent="0.2">
      <c r="A23" s="4">
        <v>21</v>
      </c>
      <c r="B23" s="3">
        <v>4314.3153150785811</v>
      </c>
    </row>
    <row r="24" spans="1:2" ht="17.25" customHeight="1" x14ac:dyDescent="0.2">
      <c r="A24" s="4">
        <v>22</v>
      </c>
      <c r="B24" s="4">
        <v>3744</v>
      </c>
    </row>
    <row r="25" spans="1:2" ht="17.25" customHeight="1" x14ac:dyDescent="0.2">
      <c r="A25" s="4">
        <v>23</v>
      </c>
      <c r="B25" s="4">
        <v>3744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Y105"/>
  <sheetViews>
    <sheetView workbookViewId="0"/>
  </sheetViews>
  <sheetFormatPr baseColWidth="10" defaultColWidth="8.83203125" defaultRowHeight="15" x14ac:dyDescent="0.2"/>
  <cols>
    <col min="1" max="1" width="12.5" style="9" bestFit="1" customWidth="1"/>
    <col min="2" max="4" width="12.5" style="5" bestFit="1" customWidth="1"/>
    <col min="5" max="7" width="12.5" style="8" bestFit="1" customWidth="1"/>
    <col min="8" max="10" width="12.5" style="5" bestFit="1" customWidth="1"/>
    <col min="11" max="11" width="12.5" style="8" bestFit="1" customWidth="1"/>
    <col min="12" max="25" width="12.5" style="5" bestFit="1" customWidth="1"/>
  </cols>
  <sheetData>
    <row r="1" spans="1:25" ht="17.25" customHeight="1" x14ac:dyDescent="0.2">
      <c r="B1" s="2" t="s">
        <v>17</v>
      </c>
      <c r="C1" s="2" t="s">
        <v>18</v>
      </c>
      <c r="D1" s="2" t="s">
        <v>19</v>
      </c>
      <c r="E1" s="6" t="s">
        <v>20</v>
      </c>
      <c r="F1" s="6" t="s">
        <v>21</v>
      </c>
      <c r="G1" s="6" t="s">
        <v>22</v>
      </c>
      <c r="H1" s="2" t="s">
        <v>23</v>
      </c>
      <c r="I1" s="2" t="s">
        <v>24</v>
      </c>
      <c r="J1" s="2" t="s">
        <v>25</v>
      </c>
      <c r="K1" s="6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</row>
    <row r="2" spans="1:25" ht="17.25" customHeight="1" x14ac:dyDescent="0.2">
      <c r="A2" s="1" t="s">
        <v>41</v>
      </c>
      <c r="B2" s="3">
        <v>0.2</v>
      </c>
      <c r="C2" s="3">
        <v>0.2</v>
      </c>
      <c r="D2" s="3">
        <v>0.2</v>
      </c>
      <c r="E2" s="4">
        <v>1</v>
      </c>
      <c r="F2" s="4">
        <v>1</v>
      </c>
      <c r="G2" s="4">
        <v>1</v>
      </c>
      <c r="H2" s="3">
        <v>0.85637770700390681</v>
      </c>
      <c r="I2" s="3">
        <v>0.7127554140078044</v>
      </c>
      <c r="J2" s="4">
        <v>1</v>
      </c>
      <c r="K2" s="3">
        <v>0.80711889823749505</v>
      </c>
      <c r="L2" s="3">
        <v>0.61423779647498999</v>
      </c>
      <c r="M2" s="3">
        <v>0.86864145362973122</v>
      </c>
      <c r="N2" s="3">
        <v>0.65547246975261719</v>
      </c>
      <c r="O2" s="3">
        <v>0.44230348587550311</v>
      </c>
      <c r="P2" s="3">
        <v>0.32115174293775162</v>
      </c>
      <c r="Q2" s="3">
        <v>0.2</v>
      </c>
      <c r="R2" s="3">
        <v>0.2</v>
      </c>
      <c r="S2" s="3">
        <v>0.5368510566974698</v>
      </c>
      <c r="T2" s="3">
        <v>0.36842552834873488</v>
      </c>
      <c r="U2" s="3">
        <v>0.2</v>
      </c>
      <c r="V2" s="3">
        <v>0.35922416394051437</v>
      </c>
      <c r="W2" s="3">
        <v>0.35922416394051437</v>
      </c>
      <c r="X2" s="3">
        <v>0.2</v>
      </c>
      <c r="Y2" s="3">
        <v>0.2</v>
      </c>
    </row>
    <row r="3" spans="1:25" ht="17.25" customHeight="1" x14ac:dyDescent="0.2">
      <c r="A3" s="1" t="s">
        <v>42</v>
      </c>
      <c r="B3" s="3">
        <v>0.2</v>
      </c>
      <c r="C3" s="3">
        <v>0.2</v>
      </c>
      <c r="D3" s="3">
        <v>0.2</v>
      </c>
      <c r="E3" s="4">
        <v>1</v>
      </c>
      <c r="F3" s="3">
        <v>0.80786291460981896</v>
      </c>
      <c r="G3" s="3">
        <v>0.61572582921964358</v>
      </c>
      <c r="H3" s="4">
        <v>1</v>
      </c>
      <c r="I3" s="3">
        <v>0.85606967982505655</v>
      </c>
      <c r="J3" s="4">
        <v>1</v>
      </c>
      <c r="K3" s="3">
        <v>0.8604098715779197</v>
      </c>
      <c r="L3" s="3">
        <v>0.71874672966912656</v>
      </c>
      <c r="M3" s="3">
        <v>0.57841567875784039</v>
      </c>
      <c r="N3" s="3">
        <v>0.42384654225589741</v>
      </c>
      <c r="O3" s="3">
        <v>0.26927740575395231</v>
      </c>
      <c r="P3" s="3">
        <v>0.43622778919099719</v>
      </c>
      <c r="Q3" s="3">
        <v>0.3181138945954986</v>
      </c>
      <c r="R3" s="3">
        <v>0.2</v>
      </c>
      <c r="S3" s="3">
        <v>0.2</v>
      </c>
      <c r="T3" s="3">
        <v>0.2</v>
      </c>
      <c r="U3" s="3">
        <v>0.38959802255262982</v>
      </c>
      <c r="V3" s="3">
        <v>0.38959802255262982</v>
      </c>
      <c r="W3" s="3">
        <v>0.38959802255262982</v>
      </c>
      <c r="X3" s="3">
        <v>0.2</v>
      </c>
      <c r="Y3" s="3">
        <v>0.2</v>
      </c>
    </row>
    <row r="4" spans="1:25" ht="17.25" customHeight="1" x14ac:dyDescent="0.2">
      <c r="A4" s="1" t="s">
        <v>43</v>
      </c>
      <c r="B4" s="3">
        <v>0.2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3">
        <v>0.85825895870838376</v>
      </c>
      <c r="I4" s="3">
        <v>0.7165179174167674</v>
      </c>
      <c r="J4" s="4">
        <v>1</v>
      </c>
      <c r="K4" s="3">
        <v>0.81321271236326609</v>
      </c>
      <c r="L4" s="3">
        <v>0.62642542472652785</v>
      </c>
      <c r="M4" s="3">
        <v>0.46564592646571901</v>
      </c>
      <c r="N4" s="3">
        <v>0.30486642820490117</v>
      </c>
      <c r="O4" s="3">
        <v>0.77149959331688944</v>
      </c>
      <c r="P4" s="3">
        <v>0.64377044785902915</v>
      </c>
      <c r="Q4" s="3">
        <v>0.51604130240116886</v>
      </c>
      <c r="R4" s="3">
        <v>0.35802065120058452</v>
      </c>
      <c r="S4" s="3">
        <v>0.2</v>
      </c>
      <c r="T4" s="3">
        <v>0.2</v>
      </c>
      <c r="U4" s="3">
        <v>0.2</v>
      </c>
      <c r="V4" s="3">
        <v>0.2</v>
      </c>
      <c r="W4" s="3">
        <v>0.38345877037009979</v>
      </c>
      <c r="X4" s="3">
        <v>0.2</v>
      </c>
      <c r="Y4" s="3">
        <v>0.2</v>
      </c>
    </row>
    <row r="5" spans="1:25" ht="17.25" customHeight="1" x14ac:dyDescent="0.2">
      <c r="A5" s="1" t="s">
        <v>44</v>
      </c>
      <c r="B5" s="3">
        <v>0.2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3">
        <v>0.8646279915129248</v>
      </c>
      <c r="I5" s="3">
        <v>0.72925598302584593</v>
      </c>
      <c r="J5" s="3">
        <v>0.53743279986438453</v>
      </c>
      <c r="K5" s="3">
        <v>0.34560961670291929</v>
      </c>
      <c r="L5" s="4">
        <v>1</v>
      </c>
      <c r="M5" s="3">
        <v>0.82479829670797356</v>
      </c>
      <c r="N5" s="3">
        <v>0.64959659341595177</v>
      </c>
      <c r="O5" s="3">
        <v>0.50023234629538005</v>
      </c>
      <c r="P5" s="3">
        <v>0.35086809917480838</v>
      </c>
      <c r="Q5" s="3">
        <v>0.49780864287142279</v>
      </c>
      <c r="R5" s="3">
        <v>0.34890432143571137</v>
      </c>
      <c r="S5" s="3">
        <v>0.2</v>
      </c>
      <c r="T5" s="3">
        <v>0.2</v>
      </c>
      <c r="U5" s="3">
        <v>0.2</v>
      </c>
      <c r="V5" s="3">
        <v>0.2</v>
      </c>
      <c r="W5" s="3">
        <v>0.2</v>
      </c>
      <c r="X5" s="3">
        <v>0.2</v>
      </c>
      <c r="Y5" s="3">
        <v>0.2</v>
      </c>
    </row>
    <row r="6" spans="1:25" ht="17.25" customHeight="1" x14ac:dyDescent="0.2">
      <c r="A6" s="1" t="s">
        <v>45</v>
      </c>
      <c r="B6" s="3">
        <v>0.2</v>
      </c>
      <c r="C6" s="3">
        <v>0.2</v>
      </c>
      <c r="D6" s="3">
        <v>0.2</v>
      </c>
      <c r="E6" s="4">
        <v>1</v>
      </c>
      <c r="F6" s="4">
        <v>1</v>
      </c>
      <c r="G6" s="3">
        <v>0.82708487799371677</v>
      </c>
      <c r="H6" s="3">
        <v>0.65416975598742</v>
      </c>
      <c r="I6" s="3">
        <v>0.50591616369010062</v>
      </c>
      <c r="J6" s="3">
        <v>0.35766257139278118</v>
      </c>
      <c r="K6" s="3">
        <v>0.21616351055755251</v>
      </c>
      <c r="L6" s="4">
        <v>1</v>
      </c>
      <c r="M6" s="3">
        <v>0.84385959648267828</v>
      </c>
      <c r="N6" s="3">
        <v>0.68771919296535633</v>
      </c>
      <c r="O6" s="3">
        <v>0.52063065774847472</v>
      </c>
      <c r="P6" s="3">
        <v>0.35354212253159328</v>
      </c>
      <c r="Q6" s="3">
        <v>0.2026275945778252</v>
      </c>
      <c r="R6" s="3">
        <v>0.93533414554477534</v>
      </c>
      <c r="S6" s="3">
        <v>0.76313948068717952</v>
      </c>
      <c r="T6" s="3">
        <v>0.59094481582958358</v>
      </c>
      <c r="U6" s="3">
        <v>0.39547240791479182</v>
      </c>
      <c r="V6" s="3">
        <v>0.2</v>
      </c>
      <c r="W6" s="3">
        <v>0.2</v>
      </c>
      <c r="X6" s="3">
        <v>0.2</v>
      </c>
      <c r="Y6" s="3">
        <v>0.2</v>
      </c>
    </row>
    <row r="7" spans="1:25" ht="17.25" customHeight="1" x14ac:dyDescent="0.2">
      <c r="A7" s="1" t="s">
        <v>46</v>
      </c>
      <c r="B7" s="3">
        <v>0.2</v>
      </c>
      <c r="C7" s="3">
        <v>0.2</v>
      </c>
      <c r="D7" s="3">
        <v>0.2</v>
      </c>
      <c r="E7" s="4">
        <v>1</v>
      </c>
      <c r="F7" s="4">
        <v>1</v>
      </c>
      <c r="G7" s="4">
        <v>1</v>
      </c>
      <c r="H7" s="3">
        <v>0.8286875851197324</v>
      </c>
      <c r="I7" s="3">
        <v>0.62071045346726461</v>
      </c>
      <c r="J7" s="4">
        <v>1</v>
      </c>
      <c r="K7" s="3">
        <v>0.82237775056786011</v>
      </c>
      <c r="L7" s="3">
        <v>0.64475550113572011</v>
      </c>
      <c r="M7" s="3">
        <v>0.64475550113572011</v>
      </c>
      <c r="N7" s="3">
        <v>0.96766432889600573</v>
      </c>
      <c r="O7" s="3">
        <v>0.80607181609215228</v>
      </c>
      <c r="P7" s="3">
        <v>0.64447930328829905</v>
      </c>
      <c r="Q7" s="3">
        <v>0.4828867904844456</v>
      </c>
      <c r="R7" s="3">
        <v>0.34144339524222278</v>
      </c>
      <c r="S7" s="3">
        <v>0.2</v>
      </c>
      <c r="T7" s="3">
        <v>0.2</v>
      </c>
      <c r="U7" s="3">
        <v>0.2</v>
      </c>
      <c r="V7" s="3">
        <v>0.2</v>
      </c>
      <c r="W7" s="3">
        <v>0.2</v>
      </c>
      <c r="X7" s="3">
        <v>0.2</v>
      </c>
      <c r="Y7" s="3">
        <v>0.2</v>
      </c>
    </row>
    <row r="8" spans="1:25" ht="17.25" customHeight="1" x14ac:dyDescent="0.2">
      <c r="A8" s="1" t="s">
        <v>47</v>
      </c>
      <c r="B8" s="3">
        <v>0.2</v>
      </c>
      <c r="C8" s="3">
        <v>0.2</v>
      </c>
      <c r="D8" s="3">
        <v>0.2</v>
      </c>
      <c r="E8" s="4">
        <v>1</v>
      </c>
      <c r="F8" s="4">
        <v>1</v>
      </c>
      <c r="G8" s="4">
        <v>1</v>
      </c>
      <c r="H8" s="3">
        <v>0.8260603491606332</v>
      </c>
      <c r="I8" s="3">
        <v>0.66009801148104108</v>
      </c>
      <c r="J8" s="3">
        <v>0.49413567380144902</v>
      </c>
      <c r="K8" s="4">
        <v>1</v>
      </c>
      <c r="L8" s="3">
        <v>0.86350171393802355</v>
      </c>
      <c r="M8" s="3">
        <v>0.70693505464620032</v>
      </c>
      <c r="N8" s="3">
        <v>0.55036839535437709</v>
      </c>
      <c r="O8" s="3">
        <v>0.72108262035656534</v>
      </c>
      <c r="P8" s="3">
        <v>0.50829276495164588</v>
      </c>
      <c r="Q8" s="3">
        <v>0.35414638247582292</v>
      </c>
      <c r="R8" s="3">
        <v>0.2</v>
      </c>
      <c r="S8" s="3">
        <v>0.2</v>
      </c>
      <c r="T8" s="3">
        <v>0.2</v>
      </c>
      <c r="U8" s="3">
        <v>0.2</v>
      </c>
      <c r="V8" s="3">
        <v>0.34319536182804372</v>
      </c>
      <c r="W8" s="3">
        <v>0.2</v>
      </c>
      <c r="X8" s="3">
        <v>0.2</v>
      </c>
      <c r="Y8" s="3">
        <v>0.2</v>
      </c>
    </row>
    <row r="9" spans="1:25" ht="17.25" customHeight="1" x14ac:dyDescent="0.2">
      <c r="A9" s="1" t="s">
        <v>48</v>
      </c>
      <c r="B9" s="3">
        <v>0.2</v>
      </c>
      <c r="C9" s="3">
        <v>0.2</v>
      </c>
      <c r="D9" s="4">
        <v>1</v>
      </c>
      <c r="E9" s="4">
        <v>1</v>
      </c>
      <c r="F9" s="4">
        <v>1</v>
      </c>
      <c r="G9" s="3">
        <v>0.87455807746829461</v>
      </c>
      <c r="H9" s="3">
        <v>0.74911615493659212</v>
      </c>
      <c r="I9" s="3">
        <v>0.57955522879494337</v>
      </c>
      <c r="J9" s="4">
        <v>1</v>
      </c>
      <c r="K9" s="3">
        <v>0.81980158368025868</v>
      </c>
      <c r="L9" s="3">
        <v>0.63960316736052536</v>
      </c>
      <c r="M9" s="3">
        <v>0.45940475104077722</v>
      </c>
      <c r="N9" s="3">
        <v>0.81892949253360081</v>
      </c>
      <c r="O9" s="3">
        <v>0.64407724773277153</v>
      </c>
      <c r="P9" s="3">
        <v>0.46922500293194208</v>
      </c>
      <c r="Q9" s="3">
        <v>0.3346125014659711</v>
      </c>
      <c r="R9" s="3">
        <v>0.2</v>
      </c>
      <c r="S9" s="3">
        <v>0.34527178245219869</v>
      </c>
      <c r="T9" s="3">
        <v>0.2</v>
      </c>
      <c r="U9" s="3">
        <v>0.2</v>
      </c>
      <c r="V9" s="3">
        <v>0.2</v>
      </c>
      <c r="W9" s="3">
        <v>0.2</v>
      </c>
      <c r="X9" s="3">
        <v>0.2</v>
      </c>
      <c r="Y9" s="3">
        <v>0.2</v>
      </c>
    </row>
    <row r="10" spans="1:25" ht="17.25" customHeight="1" x14ac:dyDescent="0.2">
      <c r="A10" s="1" t="s">
        <v>49</v>
      </c>
      <c r="B10" s="3">
        <v>0.2</v>
      </c>
      <c r="C10" s="3">
        <v>0.2</v>
      </c>
      <c r="D10" s="3">
        <v>0.2</v>
      </c>
      <c r="E10" s="4">
        <v>1</v>
      </c>
      <c r="F10" s="4">
        <v>1</v>
      </c>
      <c r="G10" s="3">
        <v>0.85229363841298544</v>
      </c>
      <c r="H10" s="3">
        <v>0.70458727682597455</v>
      </c>
      <c r="I10" s="4">
        <v>1</v>
      </c>
      <c r="J10" s="3">
        <v>0.83190593055766981</v>
      </c>
      <c r="K10" s="3">
        <v>0.66381186111534152</v>
      </c>
      <c r="L10" s="3">
        <v>0.49454857724644619</v>
      </c>
      <c r="M10" s="3">
        <v>0.32528529337754303</v>
      </c>
      <c r="N10" s="3">
        <v>0.80694257440146211</v>
      </c>
      <c r="O10" s="3">
        <v>0.6512093538151883</v>
      </c>
      <c r="P10" s="3">
        <v>0.49547613322891448</v>
      </c>
      <c r="Q10" s="3">
        <v>0.34773806661445728</v>
      </c>
      <c r="R10" s="3">
        <v>0.2</v>
      </c>
      <c r="S10" s="3">
        <v>0.36328273818655088</v>
      </c>
      <c r="T10" s="3">
        <v>0.36328273818655088</v>
      </c>
      <c r="U10" s="3">
        <v>0.2</v>
      </c>
      <c r="V10" s="3">
        <v>0.55903042653403001</v>
      </c>
      <c r="W10" s="3">
        <v>0.37951521326701892</v>
      </c>
      <c r="X10" s="3">
        <v>0.2</v>
      </c>
      <c r="Y10" s="3">
        <v>0.2</v>
      </c>
    </row>
    <row r="11" spans="1:25" ht="17.25" customHeight="1" x14ac:dyDescent="0.2">
      <c r="A11" s="1" t="s">
        <v>50</v>
      </c>
      <c r="B11" s="3">
        <v>0.2</v>
      </c>
      <c r="C11" s="3">
        <v>0.2</v>
      </c>
      <c r="D11" s="3">
        <v>0.2</v>
      </c>
      <c r="E11" s="4">
        <v>1</v>
      </c>
      <c r="F11" s="4">
        <v>1</v>
      </c>
      <c r="G11" s="4">
        <v>1</v>
      </c>
      <c r="H11" s="3">
        <v>0.83577484474955277</v>
      </c>
      <c r="I11" s="3">
        <v>0.67154968949910543</v>
      </c>
      <c r="J11" s="3">
        <v>0.52193314269979207</v>
      </c>
      <c r="K11" s="4">
        <v>1</v>
      </c>
      <c r="L11" s="3">
        <v>0.83867680557714586</v>
      </c>
      <c r="M11" s="3">
        <v>0.67735361115428527</v>
      </c>
      <c r="N11" s="3">
        <v>0.54479771891814222</v>
      </c>
      <c r="O11" s="3">
        <v>0.41224182668199771</v>
      </c>
      <c r="P11" s="3">
        <v>0.24181629092698539</v>
      </c>
      <c r="Q11" s="3">
        <v>0.4779570653043328</v>
      </c>
      <c r="R11" s="3">
        <v>0.33897853265216638</v>
      </c>
      <c r="S11" s="3">
        <v>0.2</v>
      </c>
      <c r="T11" s="3">
        <v>0.2</v>
      </c>
      <c r="U11" s="3">
        <v>0.2</v>
      </c>
      <c r="V11" s="3">
        <v>0.2</v>
      </c>
      <c r="W11" s="3">
        <v>0.2</v>
      </c>
      <c r="X11" s="3">
        <v>0.2</v>
      </c>
      <c r="Y11" s="3">
        <v>0.2</v>
      </c>
    </row>
    <row r="12" spans="1:25" ht="17.25" customHeight="1" x14ac:dyDescent="0.2">
      <c r="A12" s="1" t="s">
        <v>51</v>
      </c>
      <c r="B12" s="3">
        <v>0.2</v>
      </c>
      <c r="C12" s="3">
        <v>0.2</v>
      </c>
      <c r="D12" s="4">
        <v>1</v>
      </c>
      <c r="E12" s="4">
        <v>1</v>
      </c>
      <c r="F12" s="4">
        <v>1</v>
      </c>
      <c r="G12" s="4">
        <v>1</v>
      </c>
      <c r="H12" s="3">
        <v>0.80786692127114257</v>
      </c>
      <c r="I12" s="3">
        <v>0.65028532656100368</v>
      </c>
      <c r="J12" s="4">
        <v>1</v>
      </c>
      <c r="K12" s="3">
        <v>0.81011913893746801</v>
      </c>
      <c r="L12" s="3">
        <v>0.62023827787494323</v>
      </c>
      <c r="M12" s="3">
        <v>0.47870005772345919</v>
      </c>
      <c r="N12" s="3">
        <v>0.3371618375719751</v>
      </c>
      <c r="O12" s="3">
        <v>0.63227738590950811</v>
      </c>
      <c r="P12" s="3">
        <v>0.48721138941997549</v>
      </c>
      <c r="Q12" s="3">
        <v>0.34214539293044299</v>
      </c>
      <c r="R12" s="3">
        <v>0.2</v>
      </c>
      <c r="S12" s="3">
        <v>0.56051025153978484</v>
      </c>
      <c r="T12" s="3">
        <v>0.38655280993249519</v>
      </c>
      <c r="U12" s="3">
        <v>0.2</v>
      </c>
      <c r="V12" s="3">
        <v>0.2</v>
      </c>
      <c r="W12" s="3">
        <v>0.2</v>
      </c>
      <c r="X12" s="3">
        <v>0.2</v>
      </c>
      <c r="Y12" s="3">
        <v>0.2</v>
      </c>
    </row>
    <row r="13" spans="1:25" ht="17.25" customHeight="1" x14ac:dyDescent="0.2">
      <c r="A13" s="1" t="s">
        <v>52</v>
      </c>
      <c r="B13" s="3">
        <v>0.2</v>
      </c>
      <c r="C13" s="3">
        <v>0.2</v>
      </c>
      <c r="D13" s="4">
        <v>1</v>
      </c>
      <c r="E13" s="4">
        <v>1</v>
      </c>
      <c r="F13" s="3">
        <v>0.86359439586296716</v>
      </c>
      <c r="G13" s="4">
        <v>1</v>
      </c>
      <c r="H13" s="3">
        <v>0.86287763516877869</v>
      </c>
      <c r="I13" s="3">
        <v>0.7257552703375495</v>
      </c>
      <c r="J13" s="4">
        <v>1</v>
      </c>
      <c r="K13" s="3">
        <v>0.84882300839491054</v>
      </c>
      <c r="L13" s="3">
        <v>0.69764601678981819</v>
      </c>
      <c r="M13" s="3">
        <v>0.7532736802357699</v>
      </c>
      <c r="N13" s="3">
        <v>0.7532736802357699</v>
      </c>
      <c r="O13" s="3">
        <v>0.59745522135428319</v>
      </c>
      <c r="P13" s="3">
        <v>0.44163676247279648</v>
      </c>
      <c r="Q13" s="3">
        <v>0.32081838123639828</v>
      </c>
      <c r="R13" s="3">
        <v>0.2</v>
      </c>
      <c r="S13" s="3">
        <v>0.68026065550359294</v>
      </c>
      <c r="T13" s="3">
        <v>0.4401303277517965</v>
      </c>
      <c r="U13" s="3">
        <v>0.2</v>
      </c>
      <c r="V13" s="3">
        <v>0.2</v>
      </c>
      <c r="W13" s="3">
        <v>0.2</v>
      </c>
      <c r="X13" s="3">
        <v>0.2</v>
      </c>
      <c r="Y13" s="3">
        <v>0.2</v>
      </c>
    </row>
    <row r="14" spans="1:25" ht="17.25" customHeight="1" x14ac:dyDescent="0.2">
      <c r="A14" s="1" t="s">
        <v>53</v>
      </c>
      <c r="B14" s="3">
        <v>0.2</v>
      </c>
      <c r="C14" s="3">
        <v>0.2</v>
      </c>
      <c r="D14" s="4">
        <v>1</v>
      </c>
      <c r="E14" s="4">
        <v>1</v>
      </c>
      <c r="F14" s="3">
        <v>0.84137239900616723</v>
      </c>
      <c r="G14" s="3">
        <v>0.68274479801233445</v>
      </c>
      <c r="H14" s="4">
        <v>1</v>
      </c>
      <c r="I14" s="4">
        <v>1</v>
      </c>
      <c r="J14" s="3">
        <v>0.86173070602561108</v>
      </c>
      <c r="K14" s="3">
        <v>0.65612692337058642</v>
      </c>
      <c r="L14" s="3">
        <v>0.44326510501129551</v>
      </c>
      <c r="M14" s="3">
        <v>0.2304032866520046</v>
      </c>
      <c r="N14" s="3">
        <v>0.76109334254690153</v>
      </c>
      <c r="O14" s="3">
        <v>0.60324293158530173</v>
      </c>
      <c r="P14" s="3">
        <v>0.46808798054521111</v>
      </c>
      <c r="Q14" s="3">
        <v>0.33404399027260562</v>
      </c>
      <c r="R14" s="3">
        <v>0.2</v>
      </c>
      <c r="S14" s="3">
        <v>0.2</v>
      </c>
      <c r="T14" s="3">
        <v>0.2</v>
      </c>
      <c r="U14" s="3">
        <v>0.2</v>
      </c>
      <c r="V14" s="3">
        <v>0.2</v>
      </c>
      <c r="W14" s="3">
        <v>0.2</v>
      </c>
      <c r="X14" s="3">
        <v>0.2</v>
      </c>
      <c r="Y14" s="3">
        <v>0.2</v>
      </c>
    </row>
    <row r="15" spans="1:25" ht="17.25" customHeight="1" x14ac:dyDescent="0.2">
      <c r="A15" s="1" t="s">
        <v>54</v>
      </c>
      <c r="B15" s="3">
        <v>0.2</v>
      </c>
      <c r="C15" s="4">
        <v>1</v>
      </c>
      <c r="D15" s="4">
        <v>1</v>
      </c>
      <c r="E15" s="4">
        <v>1</v>
      </c>
      <c r="F15" s="3">
        <v>0.85159334224682237</v>
      </c>
      <c r="G15" s="3">
        <v>0.70318668449364741</v>
      </c>
      <c r="H15" s="4">
        <v>1</v>
      </c>
      <c r="I15" s="3">
        <v>0.84831524456426566</v>
      </c>
      <c r="J15" s="3">
        <v>0.62661034125142423</v>
      </c>
      <c r="K15" s="4">
        <v>1</v>
      </c>
      <c r="L15" s="3">
        <v>0.83944500382788667</v>
      </c>
      <c r="M15" s="3">
        <v>0.67889000765577989</v>
      </c>
      <c r="N15" s="3">
        <v>0.46582463057164841</v>
      </c>
      <c r="O15" s="3">
        <v>0.47200971020003918</v>
      </c>
      <c r="P15" s="3">
        <v>0.33600485510001959</v>
      </c>
      <c r="Q15" s="3">
        <v>0.2</v>
      </c>
      <c r="R15" s="3">
        <v>0.69785531366999598</v>
      </c>
      <c r="S15" s="3">
        <v>0.55017510532007607</v>
      </c>
      <c r="T15" s="3">
        <v>0.40249489697015611</v>
      </c>
      <c r="U15" s="3">
        <v>0.2</v>
      </c>
      <c r="V15" s="3">
        <v>0.2</v>
      </c>
      <c r="W15" s="3">
        <v>0.2</v>
      </c>
      <c r="X15" s="3">
        <v>0.2</v>
      </c>
      <c r="Y15" s="3">
        <v>0.2</v>
      </c>
    </row>
    <row r="16" spans="1:25" ht="17.25" customHeight="1" x14ac:dyDescent="0.2">
      <c r="A16" s="1" t="s">
        <v>55</v>
      </c>
      <c r="B16" s="3">
        <v>0.2</v>
      </c>
      <c r="C16" s="3">
        <v>0.2</v>
      </c>
      <c r="D16" s="3">
        <v>0.2</v>
      </c>
      <c r="E16" s="4">
        <v>1</v>
      </c>
      <c r="F16" s="4">
        <v>1</v>
      </c>
      <c r="G16" s="4">
        <v>1</v>
      </c>
      <c r="H16" s="3">
        <v>0.86602847457297194</v>
      </c>
      <c r="I16" s="3">
        <v>0.73205694914594044</v>
      </c>
      <c r="J16" s="3">
        <v>0.54176586546235539</v>
      </c>
      <c r="K16" s="3">
        <v>0.35147478177877001</v>
      </c>
      <c r="L16" s="3">
        <v>0.95118322828373703</v>
      </c>
      <c r="M16" s="3">
        <v>0.95118322828373703</v>
      </c>
      <c r="N16" s="3">
        <v>0.78505988409070637</v>
      </c>
      <c r="O16" s="3">
        <v>0.61893653989767539</v>
      </c>
      <c r="P16" s="3">
        <v>0.61893653989767539</v>
      </c>
      <c r="Q16" s="3">
        <v>0.48693232227525768</v>
      </c>
      <c r="R16" s="3">
        <v>0.35492810465284003</v>
      </c>
      <c r="S16" s="3">
        <v>0.2</v>
      </c>
      <c r="T16" s="3">
        <v>0.35213921673019621</v>
      </c>
      <c r="U16" s="3">
        <v>0.2</v>
      </c>
      <c r="V16" s="3">
        <v>0.2</v>
      </c>
      <c r="W16" s="3">
        <v>0.2</v>
      </c>
      <c r="X16" s="3">
        <v>0.2</v>
      </c>
      <c r="Y16" s="3">
        <v>0.2</v>
      </c>
    </row>
    <row r="17" spans="1:25" ht="17.25" customHeight="1" x14ac:dyDescent="0.2">
      <c r="A17" s="1" t="s">
        <v>56</v>
      </c>
      <c r="B17" s="3">
        <v>0.2</v>
      </c>
      <c r="C17" s="3">
        <v>0.2</v>
      </c>
      <c r="D17" s="4">
        <v>1</v>
      </c>
      <c r="E17" s="4">
        <v>1</v>
      </c>
      <c r="F17" s="4">
        <v>1</v>
      </c>
      <c r="G17" s="4">
        <v>1</v>
      </c>
      <c r="H17" s="3">
        <v>0.8487306589744934</v>
      </c>
      <c r="I17" s="3">
        <v>0.6974613179489868</v>
      </c>
      <c r="J17" s="4">
        <v>1</v>
      </c>
      <c r="K17" s="3">
        <v>0.81697362260063644</v>
      </c>
      <c r="L17" s="3">
        <v>0.61741649629056339</v>
      </c>
      <c r="M17" s="3">
        <v>0.41785936998048451</v>
      </c>
      <c r="N17" s="3">
        <v>0.59846548585937098</v>
      </c>
      <c r="O17" s="3">
        <v>0.46079853978857199</v>
      </c>
      <c r="P17" s="3">
        <v>0.32313159371777311</v>
      </c>
      <c r="Q17" s="3">
        <v>0.2</v>
      </c>
      <c r="R17" s="3">
        <v>0.60360518060746227</v>
      </c>
      <c r="S17" s="3">
        <v>0.40257827343465491</v>
      </c>
      <c r="T17" s="3">
        <v>0.2</v>
      </c>
      <c r="U17" s="3">
        <v>0.374757738723765</v>
      </c>
      <c r="V17" s="3">
        <v>0.374757738723765</v>
      </c>
      <c r="W17" s="3">
        <v>0.2</v>
      </c>
      <c r="X17" s="3">
        <v>0.2</v>
      </c>
      <c r="Y17" s="3">
        <v>0.2</v>
      </c>
    </row>
    <row r="18" spans="1:25" ht="17.25" customHeight="1" x14ac:dyDescent="0.2">
      <c r="A18" s="1" t="s">
        <v>57</v>
      </c>
      <c r="B18" s="3">
        <v>0.2</v>
      </c>
      <c r="C18" s="3">
        <v>0.2</v>
      </c>
      <c r="D18" s="3">
        <v>0.2</v>
      </c>
      <c r="E18" s="4">
        <v>1</v>
      </c>
      <c r="F18" s="4">
        <v>1</v>
      </c>
      <c r="G18" s="4">
        <v>1</v>
      </c>
      <c r="H18" s="3">
        <v>0.83627714481225424</v>
      </c>
      <c r="I18" s="3">
        <v>0.6800088026314709</v>
      </c>
      <c r="J18" s="3">
        <v>0.52374046045068778</v>
      </c>
      <c r="K18" s="4">
        <v>1</v>
      </c>
      <c r="L18" s="3">
        <v>0.81481095419107785</v>
      </c>
      <c r="M18" s="3">
        <v>0.62962190838216148</v>
      </c>
      <c r="N18" s="3">
        <v>0.8145628190602392</v>
      </c>
      <c r="O18" s="3">
        <v>0.67515347044476814</v>
      </c>
      <c r="P18" s="3">
        <v>0.51525351515582374</v>
      </c>
      <c r="Q18" s="3">
        <v>0.35535355986687939</v>
      </c>
      <c r="R18" s="3">
        <v>0.2</v>
      </c>
      <c r="S18" s="3">
        <v>0.2</v>
      </c>
      <c r="T18" s="3">
        <v>0.2</v>
      </c>
      <c r="U18" s="3">
        <v>0.37651933225354622</v>
      </c>
      <c r="V18" s="3">
        <v>0.2</v>
      </c>
      <c r="W18" s="3">
        <v>0.2</v>
      </c>
      <c r="X18" s="3">
        <v>0.2</v>
      </c>
      <c r="Y18" s="3">
        <v>0.2</v>
      </c>
    </row>
    <row r="19" spans="1:25" ht="17.25" customHeight="1" x14ac:dyDescent="0.2">
      <c r="A19" s="1" t="s">
        <v>58</v>
      </c>
      <c r="B19" s="3">
        <v>0.2</v>
      </c>
      <c r="C19" s="3">
        <v>0.2</v>
      </c>
      <c r="D19" s="3">
        <v>0.2</v>
      </c>
      <c r="E19" s="4">
        <v>1</v>
      </c>
      <c r="F19" s="4">
        <v>1</v>
      </c>
      <c r="G19" s="3">
        <v>0.85766398187003967</v>
      </c>
      <c r="H19" s="3">
        <v>0.71532796374007668</v>
      </c>
      <c r="I19" s="3">
        <v>0.58290948499290873</v>
      </c>
      <c r="J19" s="4">
        <v>1</v>
      </c>
      <c r="K19" s="3">
        <v>0.86059273979775963</v>
      </c>
      <c r="L19" s="3">
        <v>0.72118547959551949</v>
      </c>
      <c r="M19" s="3">
        <v>0.59174317732678172</v>
      </c>
      <c r="N19" s="3">
        <v>0.74356038163954141</v>
      </c>
      <c r="O19" s="3">
        <v>0.59493394718788695</v>
      </c>
      <c r="P19" s="3">
        <v>0.44630751273623248</v>
      </c>
      <c r="Q19" s="3">
        <v>0.32315375636811622</v>
      </c>
      <c r="R19" s="3">
        <v>0.2</v>
      </c>
      <c r="S19" s="3">
        <v>0.2</v>
      </c>
      <c r="T19" s="3">
        <v>0.2</v>
      </c>
      <c r="U19" s="3">
        <v>0.2</v>
      </c>
      <c r="V19" s="3">
        <v>0.2</v>
      </c>
      <c r="W19" s="3">
        <v>0.2</v>
      </c>
      <c r="X19" s="3">
        <v>0.2</v>
      </c>
      <c r="Y19" s="3">
        <v>0.2</v>
      </c>
    </row>
    <row r="20" spans="1:25" ht="17.25" customHeight="1" x14ac:dyDescent="0.2">
      <c r="A20" s="1" t="s">
        <v>59</v>
      </c>
      <c r="B20" s="3">
        <v>0.2</v>
      </c>
      <c r="C20" s="3">
        <v>0.2</v>
      </c>
      <c r="D20" s="4">
        <v>1</v>
      </c>
      <c r="E20" s="4">
        <v>1</v>
      </c>
      <c r="F20" s="4">
        <v>1</v>
      </c>
      <c r="G20" s="4">
        <v>1</v>
      </c>
      <c r="H20" s="3">
        <v>0.81308724693982093</v>
      </c>
      <c r="I20" s="3">
        <v>0.64203434795120229</v>
      </c>
      <c r="J20" s="3">
        <v>0.4709814489625837</v>
      </c>
      <c r="K20" s="3">
        <v>0.33072512556404837</v>
      </c>
      <c r="L20" s="4">
        <v>1</v>
      </c>
      <c r="M20" s="3">
        <v>0.80838852976265718</v>
      </c>
      <c r="N20" s="3">
        <v>0.61677705952531436</v>
      </c>
      <c r="O20" s="3">
        <v>0.64968677064804059</v>
      </c>
      <c r="P20" s="3">
        <v>0.44317126226881259</v>
      </c>
      <c r="Q20" s="3">
        <v>0.3215856311344063</v>
      </c>
      <c r="R20" s="3">
        <v>0.2</v>
      </c>
      <c r="S20" s="3">
        <v>0.54614443886090569</v>
      </c>
      <c r="T20" s="3">
        <v>0.37307221943045288</v>
      </c>
      <c r="U20" s="3">
        <v>0.2</v>
      </c>
      <c r="V20" s="3">
        <v>0.2</v>
      </c>
      <c r="W20" s="3">
        <v>0.2</v>
      </c>
      <c r="X20" s="3">
        <v>0.2</v>
      </c>
      <c r="Y20" s="3">
        <v>0.2</v>
      </c>
    </row>
    <row r="21" spans="1:25" ht="17.25" customHeight="1" x14ac:dyDescent="0.2">
      <c r="A21" s="1" t="s">
        <v>60</v>
      </c>
      <c r="B21" s="3">
        <v>0.2</v>
      </c>
      <c r="C21" s="3">
        <v>0.2</v>
      </c>
      <c r="D21" s="4">
        <v>1</v>
      </c>
      <c r="E21" s="4">
        <v>1</v>
      </c>
      <c r="F21" s="4">
        <v>1</v>
      </c>
      <c r="G21" s="3">
        <v>0.85595151937107283</v>
      </c>
      <c r="H21" s="3">
        <v>0.7372652844019052</v>
      </c>
      <c r="I21" s="3">
        <v>0.61857904943273645</v>
      </c>
      <c r="J21" s="4">
        <v>1</v>
      </c>
      <c r="K21" s="3">
        <v>0.81851983719314825</v>
      </c>
      <c r="L21" s="3">
        <v>0.63703967438628217</v>
      </c>
      <c r="M21" s="3">
        <v>0.46222902574689512</v>
      </c>
      <c r="N21" s="3">
        <v>0.28741837710750912</v>
      </c>
      <c r="O21" s="3">
        <v>0.47054818078720267</v>
      </c>
      <c r="P21" s="3">
        <v>0.3352740903936014</v>
      </c>
      <c r="Q21" s="3">
        <v>0.2</v>
      </c>
      <c r="R21" s="3">
        <v>0.33067681621360812</v>
      </c>
      <c r="S21" s="3">
        <v>0.2</v>
      </c>
      <c r="T21" s="3">
        <v>0.2</v>
      </c>
      <c r="U21" s="3">
        <v>0.50712994705968018</v>
      </c>
      <c r="V21" s="3">
        <v>0.35356497352984012</v>
      </c>
      <c r="W21" s="3">
        <v>0.2</v>
      </c>
      <c r="X21" s="3">
        <v>0.2</v>
      </c>
      <c r="Y21" s="3">
        <v>0.2</v>
      </c>
    </row>
    <row r="22" spans="1:25" ht="17.25" customHeight="1" x14ac:dyDescent="0.2">
      <c r="A22" s="1" t="s">
        <v>61</v>
      </c>
      <c r="B22" s="3">
        <v>0.2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3">
        <v>0.8292327701002995</v>
      </c>
      <c r="I22" s="3">
        <v>0.63058011665432301</v>
      </c>
      <c r="J22" s="4">
        <v>1</v>
      </c>
      <c r="K22" s="3">
        <v>0.82259437943790692</v>
      </c>
      <c r="L22" s="3">
        <v>0.64518875887581717</v>
      </c>
      <c r="M22" s="3">
        <v>0.46712724157132818</v>
      </c>
      <c r="N22" s="3">
        <v>0.28906572426684818</v>
      </c>
      <c r="O22" s="3">
        <v>0.49062048647326112</v>
      </c>
      <c r="P22" s="3">
        <v>0.34531024323663062</v>
      </c>
      <c r="Q22" s="3">
        <v>0.2</v>
      </c>
      <c r="R22" s="3">
        <v>0.97251810199050948</v>
      </c>
      <c r="S22" s="3">
        <v>0.8263893787470491</v>
      </c>
      <c r="T22" s="3">
        <v>0.68026065550358872</v>
      </c>
      <c r="U22" s="3">
        <v>0.44013032775179223</v>
      </c>
      <c r="V22" s="3">
        <v>0.2</v>
      </c>
      <c r="W22" s="3">
        <v>0.2</v>
      </c>
      <c r="X22" s="3">
        <v>0.2</v>
      </c>
      <c r="Y22" s="3">
        <v>0.2</v>
      </c>
    </row>
    <row r="23" spans="1:25" ht="17.25" customHeight="1" x14ac:dyDescent="0.2">
      <c r="A23" s="1" t="s">
        <v>62</v>
      </c>
      <c r="B23" s="3">
        <v>0.2</v>
      </c>
      <c r="C23" s="3">
        <v>0.2</v>
      </c>
      <c r="D23" s="3">
        <v>0.2</v>
      </c>
      <c r="E23" s="4">
        <v>1</v>
      </c>
      <c r="F23" s="4">
        <v>1</v>
      </c>
      <c r="G23" s="3">
        <v>0.79467016090547959</v>
      </c>
      <c r="H23" s="3">
        <v>0.58934032181097051</v>
      </c>
      <c r="I23" s="3">
        <v>0.4120546633167273</v>
      </c>
      <c r="J23" s="3">
        <v>0.23476900482248131</v>
      </c>
      <c r="K23" s="4">
        <v>1</v>
      </c>
      <c r="L23" s="3">
        <v>0.85046510304885414</v>
      </c>
      <c r="M23" s="3">
        <v>0.70093020609771328</v>
      </c>
      <c r="N23" s="3">
        <v>0.54066274999978881</v>
      </c>
      <c r="O23" s="3">
        <v>0.38039529390188043</v>
      </c>
      <c r="P23" s="3">
        <v>0.22687041004147371</v>
      </c>
      <c r="Q23" s="3">
        <v>0.48623641957085012</v>
      </c>
      <c r="R23" s="3">
        <v>0.34311820978542501</v>
      </c>
      <c r="S23" s="3">
        <v>0.2</v>
      </c>
      <c r="T23" s="3">
        <v>0.2</v>
      </c>
      <c r="U23" s="3">
        <v>0.42705386533463291</v>
      </c>
      <c r="V23" s="3">
        <v>0.42705386533463291</v>
      </c>
      <c r="W23" s="3">
        <v>0.2</v>
      </c>
      <c r="X23" s="3">
        <v>0.2</v>
      </c>
      <c r="Y23" s="3">
        <v>0.2</v>
      </c>
    </row>
    <row r="24" spans="1:25" ht="17.25" customHeight="1" x14ac:dyDescent="0.2">
      <c r="A24" s="1" t="s">
        <v>63</v>
      </c>
      <c r="B24" s="3">
        <v>0.2</v>
      </c>
      <c r="C24" s="3">
        <v>0.2</v>
      </c>
      <c r="D24" s="4">
        <v>1</v>
      </c>
      <c r="E24" s="4">
        <v>1</v>
      </c>
      <c r="F24" s="3">
        <v>0.83331329524393771</v>
      </c>
      <c r="G24" s="3">
        <v>0.66662659048787654</v>
      </c>
      <c r="H24" s="4">
        <v>1</v>
      </c>
      <c r="I24" s="4">
        <v>1</v>
      </c>
      <c r="J24" s="3">
        <v>0.86239791794755705</v>
      </c>
      <c r="K24" s="3">
        <v>0.69679768253498342</v>
      </c>
      <c r="L24" s="3">
        <v>0.53119744712240979</v>
      </c>
      <c r="M24" s="3">
        <v>0.93429887713709947</v>
      </c>
      <c r="N24" s="3">
        <v>0.7734836539866724</v>
      </c>
      <c r="O24" s="3">
        <v>0.61266843083624545</v>
      </c>
      <c r="P24" s="3">
        <v>0.48687351751715302</v>
      </c>
      <c r="Q24" s="3">
        <v>0.36107860419806048</v>
      </c>
      <c r="R24" s="3">
        <v>0.2</v>
      </c>
      <c r="S24" s="3">
        <v>0.2</v>
      </c>
      <c r="T24" s="3">
        <v>0.2</v>
      </c>
      <c r="U24" s="3">
        <v>0.38960408686324938</v>
      </c>
      <c r="V24" s="3">
        <v>0.2</v>
      </c>
      <c r="W24" s="3">
        <v>0.2</v>
      </c>
      <c r="X24" s="3">
        <v>0.2</v>
      </c>
      <c r="Y24" s="3">
        <v>0.2</v>
      </c>
    </row>
    <row r="25" spans="1:25" ht="17.25" customHeight="1" x14ac:dyDescent="0.2">
      <c r="A25" s="1" t="s">
        <v>64</v>
      </c>
      <c r="B25" s="3">
        <v>0.2</v>
      </c>
      <c r="C25" s="3">
        <v>0.2</v>
      </c>
      <c r="D25" s="3">
        <v>0.2</v>
      </c>
      <c r="E25" s="4">
        <v>1</v>
      </c>
      <c r="F25" s="4">
        <v>1</v>
      </c>
      <c r="G25" s="4">
        <v>1</v>
      </c>
      <c r="H25" s="3">
        <v>0.83300218358252331</v>
      </c>
      <c r="I25" s="3">
        <v>0.64087986629849791</v>
      </c>
      <c r="J25" s="3">
        <v>0.48694068695680692</v>
      </c>
      <c r="K25" s="3">
        <v>0.33300150761511682</v>
      </c>
      <c r="L25" s="4">
        <v>1</v>
      </c>
      <c r="M25" s="3">
        <v>0.8647247284022932</v>
      </c>
      <c r="N25" s="3">
        <v>0.72944945680458362</v>
      </c>
      <c r="O25" s="3">
        <v>0.83040786428019808</v>
      </c>
      <c r="P25" s="3">
        <v>0.71845057801150425</v>
      </c>
      <c r="Q25" s="3">
        <v>0.5456337186743363</v>
      </c>
      <c r="R25" s="3">
        <v>0.37281685933716813</v>
      </c>
      <c r="S25" s="3">
        <v>0.2</v>
      </c>
      <c r="T25" s="3">
        <v>0.2</v>
      </c>
      <c r="U25" s="3">
        <v>0.2</v>
      </c>
      <c r="V25" s="3">
        <v>0.2</v>
      </c>
      <c r="W25" s="3">
        <v>0.2</v>
      </c>
      <c r="X25" s="3">
        <v>0.2</v>
      </c>
      <c r="Y25" s="3">
        <v>0.2</v>
      </c>
    </row>
    <row r="26" spans="1:25" ht="17.25" customHeight="1" x14ac:dyDescent="0.2">
      <c r="A26" s="1" t="s">
        <v>65</v>
      </c>
      <c r="B26" s="3">
        <v>0.2</v>
      </c>
      <c r="C26" s="3">
        <v>0.2</v>
      </c>
      <c r="D26" s="3">
        <v>0.2</v>
      </c>
      <c r="E26" s="4">
        <v>1</v>
      </c>
      <c r="F26" s="4">
        <v>1</v>
      </c>
      <c r="G26" s="4">
        <v>1</v>
      </c>
      <c r="H26" s="3">
        <v>0.84812144536964473</v>
      </c>
      <c r="I26" s="3">
        <v>0.69624289073928547</v>
      </c>
      <c r="J26" s="3">
        <v>0.5559849960913904</v>
      </c>
      <c r="K26" s="3">
        <v>0.41572710144350822</v>
      </c>
      <c r="L26" s="3">
        <v>0.99147288641945908</v>
      </c>
      <c r="M26" s="3">
        <v>0.79323786442145883</v>
      </c>
      <c r="N26" s="3">
        <v>0.65674458041641082</v>
      </c>
      <c r="O26" s="3">
        <v>0.52025129641136292</v>
      </c>
      <c r="P26" s="3">
        <v>0.36012564820568149</v>
      </c>
      <c r="Q26" s="3">
        <v>0.2</v>
      </c>
      <c r="R26" s="3">
        <v>0.53308707896189811</v>
      </c>
      <c r="S26" s="3">
        <v>0.36654353948094909</v>
      </c>
      <c r="T26" s="3">
        <v>0.2</v>
      </c>
      <c r="U26" s="3">
        <v>0.2</v>
      </c>
      <c r="V26" s="3">
        <v>0.2</v>
      </c>
      <c r="W26" s="3">
        <v>0.2</v>
      </c>
      <c r="X26" s="3">
        <v>0.2</v>
      </c>
      <c r="Y26" s="3">
        <v>0.2</v>
      </c>
    </row>
    <row r="27" spans="1:25" ht="17.25" customHeight="1" x14ac:dyDescent="0.2">
      <c r="A27" s="1" t="s">
        <v>66</v>
      </c>
      <c r="B27" s="3">
        <v>0.2</v>
      </c>
      <c r="C27" s="3">
        <v>0.2</v>
      </c>
      <c r="D27" s="3">
        <v>0.2</v>
      </c>
      <c r="E27" s="4">
        <v>1</v>
      </c>
      <c r="F27" s="4">
        <v>1</v>
      </c>
      <c r="G27" s="3">
        <v>0.79131333685591709</v>
      </c>
      <c r="H27" s="3">
        <v>0.58262667371183174</v>
      </c>
      <c r="I27" s="3">
        <v>0.39261802708687199</v>
      </c>
      <c r="J27" s="3">
        <v>0.20260938046190219</v>
      </c>
      <c r="K27" s="4">
        <v>1</v>
      </c>
      <c r="L27" s="3">
        <v>0.86882382349283682</v>
      </c>
      <c r="M27" s="3">
        <v>0.88629267886141205</v>
      </c>
      <c r="N27" s="3">
        <v>0.69771470277538594</v>
      </c>
      <c r="O27" s="3">
        <v>0.50913672668935972</v>
      </c>
      <c r="P27" s="3">
        <v>0.35456836334467978</v>
      </c>
      <c r="Q27" s="3">
        <v>0.2</v>
      </c>
      <c r="R27" s="3">
        <v>0.48986660494652939</v>
      </c>
      <c r="S27" s="3">
        <v>0.34327274572254468</v>
      </c>
      <c r="T27" s="3">
        <v>0.2</v>
      </c>
      <c r="U27" s="3">
        <v>0.2</v>
      </c>
      <c r="V27" s="3">
        <v>0.54867491359664944</v>
      </c>
      <c r="W27" s="3">
        <v>0.37433745679832042</v>
      </c>
      <c r="X27" s="3">
        <v>0.2</v>
      </c>
      <c r="Y27" s="3">
        <v>0.2</v>
      </c>
    </row>
    <row r="28" spans="1:25" ht="17.25" customHeight="1" x14ac:dyDescent="0.2">
      <c r="A28" s="1" t="s">
        <v>67</v>
      </c>
      <c r="B28" s="3">
        <v>0.2</v>
      </c>
      <c r="C28" s="3">
        <v>0.2</v>
      </c>
      <c r="D28" s="4">
        <v>1</v>
      </c>
      <c r="E28" s="4">
        <v>1</v>
      </c>
      <c r="F28" s="4">
        <v>1</v>
      </c>
      <c r="G28" s="3">
        <v>0.81335528108984556</v>
      </c>
      <c r="H28" s="3">
        <v>0.62671056217969101</v>
      </c>
      <c r="I28" s="3">
        <v>0.49370710412263757</v>
      </c>
      <c r="J28" s="4">
        <v>1</v>
      </c>
      <c r="K28" s="3">
        <v>0.81215691340214125</v>
      </c>
      <c r="L28" s="3">
        <v>0.62431382680427239</v>
      </c>
      <c r="M28" s="3">
        <v>0.41203811122375938</v>
      </c>
      <c r="N28" s="3">
        <v>0.80604066859554624</v>
      </c>
      <c r="O28" s="3">
        <v>0.64816989558636573</v>
      </c>
      <c r="P28" s="3">
        <v>0.49029912257718528</v>
      </c>
      <c r="Q28" s="3">
        <v>0.34514956128859259</v>
      </c>
      <c r="R28" s="3">
        <v>0.2</v>
      </c>
      <c r="S28" s="3">
        <v>0.5128072333369601</v>
      </c>
      <c r="T28" s="3">
        <v>0.35640361666848008</v>
      </c>
      <c r="U28" s="3">
        <v>0.2</v>
      </c>
      <c r="V28" s="3">
        <v>0.2</v>
      </c>
      <c r="W28" s="3">
        <v>0.2</v>
      </c>
      <c r="X28" s="3">
        <v>0.2</v>
      </c>
      <c r="Y28" s="3">
        <v>0.2</v>
      </c>
    </row>
    <row r="29" spans="1:25" ht="17.25" customHeight="1" x14ac:dyDescent="0.2">
      <c r="A29" s="1" t="s">
        <v>68</v>
      </c>
      <c r="B29" s="3">
        <v>0.2</v>
      </c>
      <c r="C29" s="4">
        <v>1</v>
      </c>
      <c r="D29" s="4">
        <v>1</v>
      </c>
      <c r="E29" s="4">
        <v>1</v>
      </c>
      <c r="F29" s="4">
        <v>1</v>
      </c>
      <c r="G29" s="3">
        <v>0.80858716635457695</v>
      </c>
      <c r="H29" s="3">
        <v>0.61717433270915589</v>
      </c>
      <c r="I29" s="4">
        <v>1</v>
      </c>
      <c r="J29" s="3">
        <v>0.83612933730973171</v>
      </c>
      <c r="K29" s="3">
        <v>0.67225867461945998</v>
      </c>
      <c r="L29" s="4">
        <v>1</v>
      </c>
      <c r="M29" s="3">
        <v>0.86058562091409307</v>
      </c>
      <c r="N29" s="3">
        <v>0.72117124182818892</v>
      </c>
      <c r="O29" s="3">
        <v>0.53624557358323588</v>
      </c>
      <c r="P29" s="3">
        <v>0.35131990533828561</v>
      </c>
      <c r="Q29" s="3">
        <v>0.37203687982019018</v>
      </c>
      <c r="R29" s="3">
        <v>0.2</v>
      </c>
      <c r="S29" s="3">
        <v>0.2</v>
      </c>
      <c r="T29" s="3">
        <v>0.2</v>
      </c>
      <c r="U29" s="3">
        <v>0.2</v>
      </c>
      <c r="V29" s="3">
        <v>0.2</v>
      </c>
      <c r="W29" s="3">
        <v>0.2</v>
      </c>
      <c r="X29" s="3">
        <v>0.2</v>
      </c>
      <c r="Y29" s="3">
        <v>0.2</v>
      </c>
    </row>
    <row r="30" spans="1:25" ht="17.25" customHeight="1" x14ac:dyDescent="0.2">
      <c r="A30" s="1" t="s">
        <v>69</v>
      </c>
      <c r="B30" s="3">
        <v>0.2</v>
      </c>
      <c r="C30" s="3">
        <v>0.2</v>
      </c>
      <c r="D30" s="4">
        <v>1</v>
      </c>
      <c r="E30" s="4">
        <v>1</v>
      </c>
      <c r="F30" s="4">
        <v>1</v>
      </c>
      <c r="G30" s="3">
        <v>0.82525187931864585</v>
      </c>
      <c r="H30" s="3">
        <v>0.65050375863728815</v>
      </c>
      <c r="I30" s="3">
        <v>0.46561300846569098</v>
      </c>
      <c r="J30" s="3">
        <v>0.28072225829409392</v>
      </c>
      <c r="K30" s="4">
        <v>1</v>
      </c>
      <c r="L30" s="3">
        <v>0.86659285049227774</v>
      </c>
      <c r="M30" s="3">
        <v>0.96274153657092099</v>
      </c>
      <c r="N30" s="3">
        <v>0.82158142116795152</v>
      </c>
      <c r="O30" s="3">
        <v>0.68042130576498205</v>
      </c>
      <c r="P30" s="3">
        <v>0.50926482744026846</v>
      </c>
      <c r="Q30" s="3">
        <v>0.50926482744026846</v>
      </c>
      <c r="R30" s="3">
        <v>0.35463241372013432</v>
      </c>
      <c r="S30" s="3">
        <v>0.2</v>
      </c>
      <c r="T30" s="3">
        <v>0.2</v>
      </c>
      <c r="U30" s="3">
        <v>0.2</v>
      </c>
      <c r="V30" s="3">
        <v>0.2</v>
      </c>
      <c r="W30" s="3">
        <v>0.2</v>
      </c>
      <c r="X30" s="3">
        <v>0.2</v>
      </c>
      <c r="Y30" s="3">
        <v>0.2</v>
      </c>
    </row>
    <row r="31" spans="1:25" ht="17.25" customHeight="1" x14ac:dyDescent="0.2">
      <c r="A31" s="1" t="s">
        <v>70</v>
      </c>
      <c r="B31" s="3">
        <v>0.2</v>
      </c>
      <c r="C31" s="3">
        <v>0.2</v>
      </c>
      <c r="D31" s="4">
        <v>1</v>
      </c>
      <c r="E31" s="4">
        <v>1</v>
      </c>
      <c r="F31" s="4">
        <v>1</v>
      </c>
      <c r="G31" s="3">
        <v>0.81834479853658881</v>
      </c>
      <c r="H31" s="3">
        <v>0.6366895970731673</v>
      </c>
      <c r="I31" s="3">
        <v>0.48405851676965911</v>
      </c>
      <c r="J31" s="3">
        <v>0.3314274364661508</v>
      </c>
      <c r="K31" s="3">
        <v>0.9984758381847052</v>
      </c>
      <c r="L31" s="3">
        <v>0.82089714040314143</v>
      </c>
      <c r="M31" s="3">
        <v>0.64331844262157767</v>
      </c>
      <c r="N31" s="3">
        <v>0.50919000187580565</v>
      </c>
      <c r="O31" s="3">
        <v>0.35459500093790292</v>
      </c>
      <c r="P31" s="3">
        <v>0.2</v>
      </c>
      <c r="Q31" s="3">
        <v>0.2</v>
      </c>
      <c r="R31" s="3">
        <v>0.53264675105709558</v>
      </c>
      <c r="S31" s="3">
        <v>0.36632337552854782</v>
      </c>
      <c r="T31" s="3">
        <v>0.2</v>
      </c>
      <c r="U31" s="3">
        <v>0.38613139015026893</v>
      </c>
      <c r="V31" s="3">
        <v>0.2</v>
      </c>
      <c r="W31" s="3">
        <v>0.2</v>
      </c>
      <c r="X31" s="3">
        <v>0.2</v>
      </c>
      <c r="Y31" s="3">
        <v>0.2</v>
      </c>
    </row>
    <row r="32" spans="1:25" ht="17.25" customHeight="1" x14ac:dyDescent="0.2">
      <c r="A32" s="1" t="s">
        <v>71</v>
      </c>
      <c r="B32" s="3">
        <v>0.2</v>
      </c>
      <c r="C32" s="3">
        <v>0.2</v>
      </c>
      <c r="D32" s="3">
        <v>0.2</v>
      </c>
      <c r="E32" s="4">
        <v>1</v>
      </c>
      <c r="F32" s="4">
        <v>1</v>
      </c>
      <c r="G32" s="4">
        <v>1</v>
      </c>
      <c r="H32" s="3">
        <v>0.85423083247200826</v>
      </c>
      <c r="I32" s="3">
        <v>0.70846166494400098</v>
      </c>
      <c r="J32" s="4">
        <v>1</v>
      </c>
      <c r="K32" s="3">
        <v>0.82959681873555269</v>
      </c>
      <c r="L32" s="3">
        <v>0.65919363747108639</v>
      </c>
      <c r="M32" s="3">
        <v>0.7795616565385215</v>
      </c>
      <c r="N32" s="3">
        <v>0.7795616565385215</v>
      </c>
      <c r="O32" s="3">
        <v>0.63306697088788955</v>
      </c>
      <c r="P32" s="3">
        <v>0.48657228523725748</v>
      </c>
      <c r="Q32" s="3">
        <v>0.48657228523725748</v>
      </c>
      <c r="R32" s="3">
        <v>0.34328614261862878</v>
      </c>
      <c r="S32" s="3">
        <v>0.2</v>
      </c>
      <c r="T32" s="3">
        <v>0.2</v>
      </c>
      <c r="U32" s="3">
        <v>0.56311411583722892</v>
      </c>
      <c r="V32" s="3">
        <v>0.38155705791862299</v>
      </c>
      <c r="W32" s="3">
        <v>0.2</v>
      </c>
      <c r="X32" s="3">
        <v>0.2</v>
      </c>
      <c r="Y32" s="3">
        <v>0.2</v>
      </c>
    </row>
    <row r="33" spans="1:25" ht="17.25" customHeight="1" x14ac:dyDescent="0.2">
      <c r="A33" s="1" t="s">
        <v>72</v>
      </c>
      <c r="B33" s="3">
        <v>0.2</v>
      </c>
      <c r="C33" s="3">
        <v>0.2</v>
      </c>
      <c r="D33" s="4">
        <v>1</v>
      </c>
      <c r="E33" s="4">
        <v>1</v>
      </c>
      <c r="F33" s="3">
        <v>0.8043168905935395</v>
      </c>
      <c r="G33" s="3">
        <v>0.6086337811870689</v>
      </c>
      <c r="H33" s="4">
        <v>1</v>
      </c>
      <c r="I33" s="3">
        <v>0.86651906844687909</v>
      </c>
      <c r="J33" s="3">
        <v>0.73303813689377173</v>
      </c>
      <c r="K33" s="4">
        <v>1</v>
      </c>
      <c r="L33" s="3">
        <v>0.83680147668817539</v>
      </c>
      <c r="M33" s="3">
        <v>0.67360295337635079</v>
      </c>
      <c r="N33" s="3">
        <v>0.54485247040562146</v>
      </c>
      <c r="O33" s="3">
        <v>0.41610198743489207</v>
      </c>
      <c r="P33" s="3">
        <v>0.6235978641010137</v>
      </c>
      <c r="Q33" s="3">
        <v>0.6235978641010137</v>
      </c>
      <c r="R33" s="3">
        <v>0.41179893205050683</v>
      </c>
      <c r="S33" s="3">
        <v>0.2</v>
      </c>
      <c r="T33" s="3">
        <v>0.2</v>
      </c>
      <c r="U33" s="3">
        <v>0.54383912658694855</v>
      </c>
      <c r="V33" s="3">
        <v>0.37191956329348969</v>
      </c>
      <c r="W33" s="3">
        <v>0.2</v>
      </c>
      <c r="X33" s="3">
        <v>0.2</v>
      </c>
      <c r="Y33" s="3">
        <v>0.2</v>
      </c>
    </row>
    <row r="34" spans="1:25" ht="17.25" customHeight="1" x14ac:dyDescent="0.2">
      <c r="A34" s="1" t="s">
        <v>73</v>
      </c>
      <c r="B34" s="3">
        <v>0.2</v>
      </c>
      <c r="C34" s="4">
        <v>1</v>
      </c>
      <c r="D34" s="4">
        <v>1</v>
      </c>
      <c r="E34" s="4">
        <v>1</v>
      </c>
      <c r="F34" s="4">
        <v>1</v>
      </c>
      <c r="G34" s="4">
        <v>1</v>
      </c>
      <c r="H34" s="3">
        <v>0.83902150093863426</v>
      </c>
      <c r="I34" s="3">
        <v>0.67804300187726385</v>
      </c>
      <c r="J34" s="4">
        <v>1</v>
      </c>
      <c r="K34" s="3">
        <v>0.81281271336329497</v>
      </c>
      <c r="L34" s="3">
        <v>0.62562542672659005</v>
      </c>
      <c r="M34" s="3">
        <v>0.96101353008059109</v>
      </c>
      <c r="N34" s="3">
        <v>0.80582659969089421</v>
      </c>
      <c r="O34" s="3">
        <v>0.65063966930119732</v>
      </c>
      <c r="P34" s="3">
        <v>0.50042644620079824</v>
      </c>
      <c r="Q34" s="3">
        <v>0.3502132231003991</v>
      </c>
      <c r="R34" s="3">
        <v>0.2</v>
      </c>
      <c r="S34" s="3">
        <v>0.36462987950519982</v>
      </c>
      <c r="T34" s="3">
        <v>0.2</v>
      </c>
      <c r="U34" s="3">
        <v>0.60461648336582585</v>
      </c>
      <c r="V34" s="3">
        <v>0.40230824168291301</v>
      </c>
      <c r="W34" s="3">
        <v>0.2</v>
      </c>
      <c r="X34" s="3">
        <v>0.2</v>
      </c>
      <c r="Y34" s="3">
        <v>0.2</v>
      </c>
    </row>
    <row r="35" spans="1:25" ht="17.25" customHeight="1" x14ac:dyDescent="0.2">
      <c r="A35" s="1" t="s">
        <v>74</v>
      </c>
      <c r="B35" s="3">
        <v>0.2</v>
      </c>
      <c r="C35" s="3">
        <v>0.2</v>
      </c>
      <c r="D35" s="4">
        <v>1</v>
      </c>
      <c r="E35" s="4">
        <v>1</v>
      </c>
      <c r="F35" s="4">
        <v>1</v>
      </c>
      <c r="G35" s="3">
        <v>0.83757808000939393</v>
      </c>
      <c r="H35" s="3">
        <v>0.67515616001879586</v>
      </c>
      <c r="I35" s="3">
        <v>0.51170597133397588</v>
      </c>
      <c r="J35" s="3">
        <v>0.34825578264915602</v>
      </c>
      <c r="K35" s="3">
        <v>0.20935879054323139</v>
      </c>
      <c r="L35" s="4">
        <v>1</v>
      </c>
      <c r="M35" s="3">
        <v>0.85201828136945501</v>
      </c>
      <c r="N35" s="3">
        <v>0.7040365627389058</v>
      </c>
      <c r="O35" s="3">
        <v>0.4908387351427474</v>
      </c>
      <c r="P35" s="3">
        <v>0.27764090754658888</v>
      </c>
      <c r="Q35" s="3">
        <v>0.50840546587388846</v>
      </c>
      <c r="R35" s="3">
        <v>0.35420273293694432</v>
      </c>
      <c r="S35" s="3">
        <v>0.2</v>
      </c>
      <c r="T35" s="3">
        <v>0.2</v>
      </c>
      <c r="U35" s="3">
        <v>0.2</v>
      </c>
      <c r="V35" s="3">
        <v>0.6089800031261865</v>
      </c>
      <c r="W35" s="3">
        <v>0.40449000156309328</v>
      </c>
      <c r="X35" s="3">
        <v>0.2</v>
      </c>
      <c r="Y35" s="3">
        <v>0.2</v>
      </c>
    </row>
    <row r="36" spans="1:25" ht="17.25" customHeight="1" x14ac:dyDescent="0.2">
      <c r="A36" s="1" t="s">
        <v>75</v>
      </c>
      <c r="B36" s="3">
        <v>0.2</v>
      </c>
      <c r="C36" s="3">
        <v>0.2</v>
      </c>
      <c r="D36" s="4">
        <v>1</v>
      </c>
      <c r="E36" s="4">
        <v>1</v>
      </c>
      <c r="F36" s="3">
        <v>0.75481850375999826</v>
      </c>
      <c r="G36" s="3">
        <v>0.50963700751999952</v>
      </c>
      <c r="H36" s="4">
        <v>1</v>
      </c>
      <c r="I36" s="4">
        <v>1</v>
      </c>
      <c r="J36" s="3">
        <v>0.84260095579578731</v>
      </c>
      <c r="K36" s="3">
        <v>0.68520191159157462</v>
      </c>
      <c r="L36" s="4">
        <v>1</v>
      </c>
      <c r="M36" s="3">
        <v>0.83729911132097201</v>
      </c>
      <c r="N36" s="3">
        <v>0.68075130631569547</v>
      </c>
      <c r="O36" s="3">
        <v>0.52420350131041815</v>
      </c>
      <c r="P36" s="3">
        <v>0.36679237775187551</v>
      </c>
      <c r="Q36" s="3">
        <v>0.2093812541933249</v>
      </c>
      <c r="R36" s="3">
        <v>0.58493082359409299</v>
      </c>
      <c r="S36" s="3">
        <v>0.39246541179704653</v>
      </c>
      <c r="T36" s="3">
        <v>0.2</v>
      </c>
      <c r="U36" s="3">
        <v>0.2</v>
      </c>
      <c r="V36" s="3">
        <v>0.2</v>
      </c>
      <c r="W36" s="3">
        <v>0.2</v>
      </c>
      <c r="X36" s="3">
        <v>0.2</v>
      </c>
      <c r="Y36" s="3">
        <v>0.2</v>
      </c>
    </row>
    <row r="37" spans="1:25" ht="17.25" customHeight="1" x14ac:dyDescent="0.2">
      <c r="A37" s="1" t="s">
        <v>76</v>
      </c>
      <c r="B37" s="3">
        <v>0.2</v>
      </c>
      <c r="C37" s="4">
        <v>1</v>
      </c>
      <c r="D37" s="4">
        <v>1</v>
      </c>
      <c r="E37" s="4">
        <v>1</v>
      </c>
      <c r="F37" s="4">
        <v>1</v>
      </c>
      <c r="G37" s="3">
        <v>0.81590770189858786</v>
      </c>
      <c r="H37" s="4">
        <v>1</v>
      </c>
      <c r="I37" s="3">
        <v>0.81693023052492753</v>
      </c>
      <c r="J37" s="3">
        <v>0.63386046104985494</v>
      </c>
      <c r="K37" s="4">
        <v>1</v>
      </c>
      <c r="L37" s="3">
        <v>0.86827772763487288</v>
      </c>
      <c r="M37" s="3">
        <v>0.73655545526974009</v>
      </c>
      <c r="N37" s="3">
        <v>0.73655545526974009</v>
      </c>
      <c r="O37" s="3">
        <v>0.83160154366885386</v>
      </c>
      <c r="P37" s="3">
        <v>0.68388162469768532</v>
      </c>
      <c r="Q37" s="3">
        <v>0.53616170572651667</v>
      </c>
      <c r="R37" s="3">
        <v>0.36808085286325842</v>
      </c>
      <c r="S37" s="3">
        <v>0.2</v>
      </c>
      <c r="T37" s="3">
        <v>0.2</v>
      </c>
      <c r="U37" s="3">
        <v>0.2</v>
      </c>
      <c r="V37" s="3">
        <v>0.2</v>
      </c>
      <c r="W37" s="3">
        <v>0.2</v>
      </c>
      <c r="X37" s="3">
        <v>0.2</v>
      </c>
      <c r="Y37" s="3">
        <v>0.2</v>
      </c>
    </row>
    <row r="38" spans="1:25" ht="17.25" customHeight="1" x14ac:dyDescent="0.2">
      <c r="A38" s="1" t="s">
        <v>77</v>
      </c>
      <c r="B38" s="3">
        <v>0.2</v>
      </c>
      <c r="C38" s="3">
        <v>0.2</v>
      </c>
      <c r="D38" s="4">
        <v>1</v>
      </c>
      <c r="E38" s="4">
        <v>1</v>
      </c>
      <c r="F38" s="4">
        <v>1</v>
      </c>
      <c r="G38" s="4">
        <v>1</v>
      </c>
      <c r="H38" s="3">
        <v>0.85140017908377241</v>
      </c>
      <c r="I38" s="3">
        <v>0.7028003581675446</v>
      </c>
      <c r="J38" s="4">
        <v>1</v>
      </c>
      <c r="K38" s="3">
        <v>0.85988013288850251</v>
      </c>
      <c r="L38" s="3">
        <v>0.71976026577700514</v>
      </c>
      <c r="M38" s="3">
        <v>0.52788384419470891</v>
      </c>
      <c r="N38" s="3">
        <v>0.83890416824043357</v>
      </c>
      <c r="O38" s="3">
        <v>0.70195558712063033</v>
      </c>
      <c r="P38" s="3">
        <v>0.53463705808042017</v>
      </c>
      <c r="Q38" s="3">
        <v>0.36731852904021012</v>
      </c>
      <c r="R38" s="3">
        <v>0.2</v>
      </c>
      <c r="S38" s="3">
        <v>0.2</v>
      </c>
      <c r="T38" s="3">
        <v>0.2</v>
      </c>
      <c r="U38" s="3">
        <v>0.70375341741453912</v>
      </c>
      <c r="V38" s="3">
        <v>0.45187670870726948</v>
      </c>
      <c r="W38" s="3">
        <v>0.2</v>
      </c>
      <c r="X38" s="3">
        <v>0.2</v>
      </c>
      <c r="Y38" s="3">
        <v>0.2</v>
      </c>
    </row>
    <row r="39" spans="1:25" ht="17.25" customHeight="1" x14ac:dyDescent="0.2">
      <c r="A39" s="1" t="s">
        <v>78</v>
      </c>
      <c r="B39" s="3">
        <v>0.2</v>
      </c>
      <c r="C39" s="3">
        <v>0.2</v>
      </c>
      <c r="D39" s="3">
        <v>0.2</v>
      </c>
      <c r="E39" s="4">
        <v>1</v>
      </c>
      <c r="F39" s="4">
        <v>1</v>
      </c>
      <c r="G39" s="4">
        <v>1</v>
      </c>
      <c r="H39" s="3">
        <v>0.82868706377920975</v>
      </c>
      <c r="I39" s="3">
        <v>0.65737412755841951</v>
      </c>
      <c r="J39" s="3">
        <v>0.46363006547945712</v>
      </c>
      <c r="K39" s="3">
        <v>0.26988600340049468</v>
      </c>
      <c r="L39" s="3">
        <v>0.99310529792099655</v>
      </c>
      <c r="M39" s="3">
        <v>0.99310529792099655</v>
      </c>
      <c r="N39" s="3">
        <v>0.82059994173541939</v>
      </c>
      <c r="O39" s="3">
        <v>0.64809458554984234</v>
      </c>
      <c r="P39" s="3">
        <v>0.47558922936426518</v>
      </c>
      <c r="Q39" s="3">
        <v>0.33779461468213262</v>
      </c>
      <c r="R39" s="3">
        <v>0.2</v>
      </c>
      <c r="S39" s="3">
        <v>0.2</v>
      </c>
      <c r="T39" s="3">
        <v>0.54456084757958367</v>
      </c>
      <c r="U39" s="3">
        <v>0.37228042378979181</v>
      </c>
      <c r="V39" s="3">
        <v>0.2</v>
      </c>
      <c r="W39" s="3">
        <v>0.2</v>
      </c>
      <c r="X39" s="3">
        <v>0.2</v>
      </c>
      <c r="Y39" s="3">
        <v>0.2</v>
      </c>
    </row>
    <row r="40" spans="1:25" ht="17.25" customHeight="1" x14ac:dyDescent="0.2">
      <c r="A40" s="1" t="s">
        <v>79</v>
      </c>
      <c r="B40" s="3">
        <v>0.2</v>
      </c>
      <c r="C40" s="3">
        <v>0.2</v>
      </c>
      <c r="D40" s="3">
        <v>0.2</v>
      </c>
      <c r="E40" s="4">
        <v>1</v>
      </c>
      <c r="F40" s="4">
        <v>1</v>
      </c>
      <c r="G40" s="4">
        <v>1</v>
      </c>
      <c r="H40" s="3">
        <v>0.807246603062168</v>
      </c>
      <c r="I40" s="3">
        <v>0.61449320612434377</v>
      </c>
      <c r="J40" s="3">
        <v>0.44481063066322662</v>
      </c>
      <c r="K40" s="3">
        <v>0.27512805520210898</v>
      </c>
      <c r="L40" s="3">
        <v>0.92557688831388818</v>
      </c>
      <c r="M40" s="3">
        <v>0.92557688831388818</v>
      </c>
      <c r="N40" s="3">
        <v>0.74845583548581063</v>
      </c>
      <c r="O40" s="3">
        <v>0.57133478265773285</v>
      </c>
      <c r="P40" s="3">
        <v>0.44755652177182192</v>
      </c>
      <c r="Q40" s="3">
        <v>0.32377826088591088</v>
      </c>
      <c r="R40" s="3">
        <v>0.2</v>
      </c>
      <c r="S40" s="3">
        <v>0.2</v>
      </c>
      <c r="T40" s="3">
        <v>0.2</v>
      </c>
      <c r="U40" s="3">
        <v>0.37462353909851298</v>
      </c>
      <c r="V40" s="3">
        <v>0.2</v>
      </c>
      <c r="W40" s="3">
        <v>0.2</v>
      </c>
      <c r="X40" s="3">
        <v>0.2</v>
      </c>
      <c r="Y40" s="3">
        <v>0.2</v>
      </c>
    </row>
    <row r="41" spans="1:25" ht="17.25" customHeight="1" x14ac:dyDescent="0.2">
      <c r="A41" s="1" t="s">
        <v>80</v>
      </c>
      <c r="B41" s="3">
        <v>0.2</v>
      </c>
      <c r="C41" s="3">
        <v>0.2</v>
      </c>
      <c r="D41" s="4">
        <v>1</v>
      </c>
      <c r="E41" s="4">
        <v>1</v>
      </c>
      <c r="F41" s="4">
        <v>1</v>
      </c>
      <c r="G41" s="4">
        <v>1</v>
      </c>
      <c r="H41" s="3">
        <v>0.85459432024562609</v>
      </c>
      <c r="I41" s="3">
        <v>0.70918864049114572</v>
      </c>
      <c r="J41" s="4">
        <v>1</v>
      </c>
      <c r="K41" s="3">
        <v>0.83557770766953277</v>
      </c>
      <c r="L41" s="3">
        <v>0.67115541533906931</v>
      </c>
      <c r="M41" s="3">
        <v>0.51492819375048016</v>
      </c>
      <c r="N41" s="3">
        <v>0.3587009721618909</v>
      </c>
      <c r="O41" s="3">
        <v>0.69767300556030554</v>
      </c>
      <c r="P41" s="3">
        <v>0.54515495700966299</v>
      </c>
      <c r="Q41" s="3">
        <v>0.37257747850483153</v>
      </c>
      <c r="R41" s="3">
        <v>0.2</v>
      </c>
      <c r="S41" s="3">
        <v>0.41089031277465587</v>
      </c>
      <c r="T41" s="3">
        <v>0.41089031277465587</v>
      </c>
      <c r="U41" s="3">
        <v>0.2</v>
      </c>
      <c r="V41" s="3">
        <v>0.2</v>
      </c>
      <c r="W41" s="3">
        <v>0.2</v>
      </c>
      <c r="X41" s="3">
        <v>0.2</v>
      </c>
      <c r="Y41" s="3">
        <v>0.2</v>
      </c>
    </row>
    <row r="42" spans="1:25" ht="17.25" customHeight="1" x14ac:dyDescent="0.2">
      <c r="A42" s="1" t="s">
        <v>81</v>
      </c>
      <c r="B42" s="3">
        <v>0.2</v>
      </c>
      <c r="C42" s="3">
        <v>0.2</v>
      </c>
      <c r="D42" s="3">
        <v>0.2</v>
      </c>
      <c r="E42" s="4">
        <v>1</v>
      </c>
      <c r="F42" s="4">
        <v>1</v>
      </c>
      <c r="G42" s="3">
        <v>0.81061622494190688</v>
      </c>
      <c r="H42" s="4">
        <v>1</v>
      </c>
      <c r="I42" s="3">
        <v>0.84314655709949859</v>
      </c>
      <c r="J42" s="3">
        <v>0.63603581932547559</v>
      </c>
      <c r="K42" s="4">
        <v>1</v>
      </c>
      <c r="L42" s="3">
        <v>0.82260924884867626</v>
      </c>
      <c r="M42" s="3">
        <v>0.82260924884867626</v>
      </c>
      <c r="N42" s="3">
        <v>0.62286634739866653</v>
      </c>
      <c r="O42" s="3">
        <v>0.66535503515008343</v>
      </c>
      <c r="P42" s="3">
        <v>0.49675261884011901</v>
      </c>
      <c r="Q42" s="3">
        <v>0.32815020253015442</v>
      </c>
      <c r="R42" s="3">
        <v>0.2</v>
      </c>
      <c r="S42" s="3">
        <v>0.34412681226681002</v>
      </c>
      <c r="T42" s="3">
        <v>0.34412681226681002</v>
      </c>
      <c r="U42" s="3">
        <v>0.2</v>
      </c>
      <c r="V42" s="3">
        <v>0.2</v>
      </c>
      <c r="W42" s="3">
        <v>0.2</v>
      </c>
      <c r="X42" s="3">
        <v>0.2</v>
      </c>
      <c r="Y42" s="3">
        <v>0.2</v>
      </c>
    </row>
    <row r="43" spans="1:25" ht="17.25" customHeight="1" x14ac:dyDescent="0.2">
      <c r="A43" s="1" t="s">
        <v>82</v>
      </c>
      <c r="B43" s="3">
        <v>0.2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3">
        <v>0.84295833497147155</v>
      </c>
      <c r="I43" s="3">
        <v>0.68591666994293643</v>
      </c>
      <c r="J43" s="3">
        <v>0.51335192507459071</v>
      </c>
      <c r="K43" s="3">
        <v>0.34078718020624588</v>
      </c>
      <c r="L43" s="4">
        <v>1</v>
      </c>
      <c r="M43" s="4">
        <v>1</v>
      </c>
      <c r="N43" s="3">
        <v>0.83812613471435382</v>
      </c>
      <c r="O43" s="3">
        <v>0.67625226942871597</v>
      </c>
      <c r="P43" s="3">
        <v>0.54260190505606376</v>
      </c>
      <c r="Q43" s="3">
        <v>0.77431269357280597</v>
      </c>
      <c r="R43" s="3">
        <v>0.58287512904853733</v>
      </c>
      <c r="S43" s="3">
        <v>0.3914375645242687</v>
      </c>
      <c r="T43" s="3">
        <v>0.2</v>
      </c>
      <c r="U43" s="3">
        <v>0.59612648514701294</v>
      </c>
      <c r="V43" s="3">
        <v>0.59612648514701294</v>
      </c>
      <c r="W43" s="3">
        <v>0.39806324257351139</v>
      </c>
      <c r="X43" s="3">
        <v>0.2</v>
      </c>
      <c r="Y43" s="3">
        <v>0.2</v>
      </c>
    </row>
    <row r="44" spans="1:25" ht="17.25" customHeight="1" x14ac:dyDescent="0.2">
      <c r="A44" s="1" t="s">
        <v>83</v>
      </c>
      <c r="B44" s="3">
        <v>0.2</v>
      </c>
      <c r="C44" s="3">
        <v>0.2</v>
      </c>
      <c r="D44" s="3">
        <v>0.2</v>
      </c>
      <c r="E44" s="4">
        <v>1</v>
      </c>
      <c r="F44" s="4">
        <v>1</v>
      </c>
      <c r="G44" s="4">
        <v>1</v>
      </c>
      <c r="H44" s="3">
        <v>0.87136685886533938</v>
      </c>
      <c r="I44" s="3">
        <v>0.70794503332575132</v>
      </c>
      <c r="J44" s="3">
        <v>0.54452320778616325</v>
      </c>
      <c r="K44" s="3">
        <v>0.37424431020144339</v>
      </c>
      <c r="L44" s="4">
        <v>1</v>
      </c>
      <c r="M44" s="3">
        <v>0.82941295900158396</v>
      </c>
      <c r="N44" s="3">
        <v>0.65882591800316093</v>
      </c>
      <c r="O44" s="3">
        <v>0.48938466199920722</v>
      </c>
      <c r="P44" s="3">
        <v>0.31994340599525289</v>
      </c>
      <c r="Q44" s="3">
        <v>0.56208135959843331</v>
      </c>
      <c r="R44" s="3">
        <v>0.38104067979921658</v>
      </c>
      <c r="S44" s="3">
        <v>0.2</v>
      </c>
      <c r="T44" s="3">
        <v>0.2</v>
      </c>
      <c r="U44" s="3">
        <v>0.2</v>
      </c>
      <c r="V44" s="3">
        <v>0.2</v>
      </c>
      <c r="W44" s="3">
        <v>0.43245414689765438</v>
      </c>
      <c r="X44" s="3">
        <v>0.2</v>
      </c>
      <c r="Y44" s="3">
        <v>0.2</v>
      </c>
    </row>
    <row r="45" spans="1:25" ht="17.25" customHeight="1" x14ac:dyDescent="0.2">
      <c r="A45" s="1" t="s">
        <v>84</v>
      </c>
      <c r="B45" s="3">
        <v>0.2</v>
      </c>
      <c r="C45" s="3">
        <v>0.2</v>
      </c>
      <c r="D45" s="3">
        <v>0.2</v>
      </c>
      <c r="E45" s="4">
        <v>1</v>
      </c>
      <c r="F45" s="4">
        <v>1</v>
      </c>
      <c r="G45" s="4">
        <v>1</v>
      </c>
      <c r="H45" s="3">
        <v>0.84244370496157095</v>
      </c>
      <c r="I45" s="3">
        <v>0.68488740992307084</v>
      </c>
      <c r="J45" s="3">
        <v>0.46227369648427391</v>
      </c>
      <c r="K45" s="3">
        <v>0.23965998304547709</v>
      </c>
      <c r="L45" s="4">
        <v>1</v>
      </c>
      <c r="M45" s="3">
        <v>0.82185111709943648</v>
      </c>
      <c r="N45" s="3">
        <v>0.64370223419887096</v>
      </c>
      <c r="O45" s="3">
        <v>0.76765939415756712</v>
      </c>
      <c r="P45" s="3">
        <v>0.63937295359535029</v>
      </c>
      <c r="Q45" s="3">
        <v>0.51108651303313357</v>
      </c>
      <c r="R45" s="3">
        <v>0.35554325651656682</v>
      </c>
      <c r="S45" s="3">
        <v>0.2</v>
      </c>
      <c r="T45" s="3">
        <v>0.2</v>
      </c>
      <c r="U45" s="3">
        <v>0.3785066206869257</v>
      </c>
      <c r="V45" s="3">
        <v>0.37850662068692759</v>
      </c>
      <c r="W45" s="3">
        <v>0.2</v>
      </c>
      <c r="X45" s="3">
        <v>0.2</v>
      </c>
      <c r="Y45" s="3">
        <v>0.2</v>
      </c>
    </row>
    <row r="46" spans="1:25" ht="17.25" customHeight="1" x14ac:dyDescent="0.2">
      <c r="A46" s="1" t="s">
        <v>85</v>
      </c>
      <c r="B46" s="3">
        <v>0.2</v>
      </c>
      <c r="C46" s="4">
        <v>1</v>
      </c>
      <c r="D46" s="4">
        <v>1</v>
      </c>
      <c r="E46" s="4">
        <v>1</v>
      </c>
      <c r="F46" s="4">
        <v>1</v>
      </c>
      <c r="G46" s="4">
        <v>1</v>
      </c>
      <c r="H46" s="3">
        <v>0.80787224641309885</v>
      </c>
      <c r="I46" s="3">
        <v>0.61574449282621946</v>
      </c>
      <c r="J46" s="3">
        <v>0.4744659526829561</v>
      </c>
      <c r="K46" s="3">
        <v>0.33318741253968881</v>
      </c>
      <c r="L46" s="4">
        <v>1</v>
      </c>
      <c r="M46" s="3">
        <v>0.83509635039107333</v>
      </c>
      <c r="N46" s="3">
        <v>0.67019270078214677</v>
      </c>
      <c r="O46" s="3">
        <v>0.49586678180145372</v>
      </c>
      <c r="P46" s="3">
        <v>0.32154086282076061</v>
      </c>
      <c r="Q46" s="3">
        <v>0.20675666797973721</v>
      </c>
      <c r="R46" s="3">
        <v>0.55099743174645788</v>
      </c>
      <c r="S46" s="3">
        <v>0.37549871587322903</v>
      </c>
      <c r="T46" s="3">
        <v>0.2</v>
      </c>
      <c r="U46" s="3">
        <v>0.2</v>
      </c>
      <c r="V46" s="3">
        <v>0.2</v>
      </c>
      <c r="W46" s="3">
        <v>0.2</v>
      </c>
      <c r="X46" s="3">
        <v>0.2</v>
      </c>
      <c r="Y46" s="3">
        <v>0.2</v>
      </c>
    </row>
    <row r="47" spans="1:25" ht="17.25" customHeight="1" x14ac:dyDescent="0.2">
      <c r="A47" s="1" t="s">
        <v>86</v>
      </c>
      <c r="B47" s="3">
        <v>0.2</v>
      </c>
      <c r="C47" s="3">
        <v>0.2</v>
      </c>
      <c r="D47" s="3">
        <v>0.2</v>
      </c>
      <c r="E47" s="4">
        <v>1</v>
      </c>
      <c r="F47" s="4">
        <v>1</v>
      </c>
      <c r="G47" s="4">
        <v>1</v>
      </c>
      <c r="H47" s="3">
        <v>0.83778437681526674</v>
      </c>
      <c r="I47" s="3">
        <v>0.67556875363051938</v>
      </c>
      <c r="J47" s="4">
        <v>1</v>
      </c>
      <c r="K47" s="3">
        <v>0.82299168279592561</v>
      </c>
      <c r="L47" s="3">
        <v>0.64598336559185376</v>
      </c>
      <c r="M47" s="3">
        <v>0.48830245074554179</v>
      </c>
      <c r="N47" s="3">
        <v>0.58312752119108546</v>
      </c>
      <c r="O47" s="3">
        <v>0.45977639942034282</v>
      </c>
      <c r="P47" s="3">
        <v>0.33642527764960012</v>
      </c>
      <c r="Q47" s="3">
        <v>0.2</v>
      </c>
      <c r="R47" s="3">
        <v>0.50412846230601782</v>
      </c>
      <c r="S47" s="3">
        <v>0.35206423115300578</v>
      </c>
      <c r="T47" s="3">
        <v>0.2</v>
      </c>
      <c r="U47" s="3">
        <v>0.2</v>
      </c>
      <c r="V47" s="3">
        <v>0.2</v>
      </c>
      <c r="W47" s="3">
        <v>0.2</v>
      </c>
      <c r="X47" s="3">
        <v>0.2</v>
      </c>
      <c r="Y47" s="3">
        <v>0.2</v>
      </c>
    </row>
    <row r="48" spans="1:25" ht="17.25" customHeight="1" x14ac:dyDescent="0.2">
      <c r="A48" s="1" t="s">
        <v>87</v>
      </c>
      <c r="B48" s="3">
        <v>0.2</v>
      </c>
      <c r="C48" s="4">
        <v>1</v>
      </c>
      <c r="D48" s="4">
        <v>1</v>
      </c>
      <c r="E48" s="4">
        <v>1</v>
      </c>
      <c r="F48" s="4">
        <v>1</v>
      </c>
      <c r="G48" s="3">
        <v>0.80511269636354399</v>
      </c>
      <c r="H48" s="3">
        <v>0.61022539272708454</v>
      </c>
      <c r="I48" s="3">
        <v>0.43725134498772678</v>
      </c>
      <c r="J48" s="3">
        <v>0.26427729724836918</v>
      </c>
      <c r="K48" s="4">
        <v>1</v>
      </c>
      <c r="L48" s="3">
        <v>0.8422834503010258</v>
      </c>
      <c r="M48" s="3">
        <v>0.68456690060206082</v>
      </c>
      <c r="N48" s="3">
        <v>0.54924780216489855</v>
      </c>
      <c r="O48" s="3">
        <v>0.61304218304643865</v>
      </c>
      <c r="P48" s="3">
        <v>0.46814825204105742</v>
      </c>
      <c r="Q48" s="3">
        <v>0.3232543210356762</v>
      </c>
      <c r="R48" s="3">
        <v>0.2</v>
      </c>
      <c r="S48" s="3">
        <v>0.41339497804366249</v>
      </c>
      <c r="T48" s="3">
        <v>0.2</v>
      </c>
      <c r="U48" s="3">
        <v>0.55846740511862092</v>
      </c>
      <c r="V48" s="3">
        <v>0.37923370255931038</v>
      </c>
      <c r="W48" s="3">
        <v>0.2</v>
      </c>
      <c r="X48" s="3">
        <v>0.2</v>
      </c>
      <c r="Y48" s="3">
        <v>0.2</v>
      </c>
    </row>
    <row r="49" spans="1:25" ht="17.25" customHeight="1" x14ac:dyDescent="0.2">
      <c r="A49" s="1" t="s">
        <v>88</v>
      </c>
      <c r="B49" s="3">
        <v>0.2</v>
      </c>
      <c r="C49" s="3">
        <v>0.2</v>
      </c>
      <c r="D49" s="4">
        <v>1</v>
      </c>
      <c r="E49" s="4">
        <v>1</v>
      </c>
      <c r="F49" s="4">
        <v>1</v>
      </c>
      <c r="G49" s="4">
        <v>1</v>
      </c>
      <c r="H49" s="3">
        <v>0.88178947850560119</v>
      </c>
      <c r="I49" s="3">
        <v>0.73036092608502923</v>
      </c>
      <c r="J49" s="3">
        <v>0.57893237366446459</v>
      </c>
      <c r="K49" s="4">
        <v>1</v>
      </c>
      <c r="L49" s="3">
        <v>0.81388983332794629</v>
      </c>
      <c r="M49" s="3">
        <v>0.62777966665588592</v>
      </c>
      <c r="N49" s="3">
        <v>0.62777966665589469</v>
      </c>
      <c r="O49" s="3">
        <v>0.83918788022175794</v>
      </c>
      <c r="P49" s="3">
        <v>0.69334161857032017</v>
      </c>
      <c r="Q49" s="3">
        <v>0.5474953569188824</v>
      </c>
      <c r="R49" s="3">
        <v>0.37374767845944129</v>
      </c>
      <c r="S49" s="3">
        <v>0.2</v>
      </c>
      <c r="T49" s="3">
        <v>0.2</v>
      </c>
      <c r="U49" s="3">
        <v>0.34248149878005552</v>
      </c>
      <c r="V49" s="3">
        <v>0.34248149878005552</v>
      </c>
      <c r="W49" s="3">
        <v>0.34248149878005552</v>
      </c>
      <c r="X49" s="3">
        <v>0.2</v>
      </c>
      <c r="Y49" s="3">
        <v>0.2</v>
      </c>
    </row>
    <row r="50" spans="1:25" ht="17.25" customHeight="1" x14ac:dyDescent="0.2">
      <c r="A50" s="1" t="s">
        <v>89</v>
      </c>
      <c r="B50" s="3">
        <v>0.2</v>
      </c>
      <c r="C50" s="3">
        <v>0.2</v>
      </c>
      <c r="D50" s="3">
        <v>0.2</v>
      </c>
      <c r="E50" s="4">
        <v>1</v>
      </c>
      <c r="F50" s="4">
        <v>1</v>
      </c>
      <c r="G50" s="4">
        <v>1</v>
      </c>
      <c r="H50" s="3">
        <v>0.86149234572572686</v>
      </c>
      <c r="I50" s="3">
        <v>0.72298469145138011</v>
      </c>
      <c r="J50" s="3">
        <v>0.59124134634278469</v>
      </c>
      <c r="K50" s="3">
        <v>0.45949800123418932</v>
      </c>
      <c r="L50" s="4">
        <v>1</v>
      </c>
      <c r="M50" s="3">
        <v>0.8121228846644355</v>
      </c>
      <c r="N50" s="3">
        <v>0.62424576932886877</v>
      </c>
      <c r="O50" s="3">
        <v>0.65189513073669625</v>
      </c>
      <c r="P50" s="3">
        <v>0.51081774427163085</v>
      </c>
      <c r="Q50" s="3">
        <v>0.3554088721358154</v>
      </c>
      <c r="R50" s="3">
        <v>0.2</v>
      </c>
      <c r="S50" s="3">
        <v>0.2</v>
      </c>
      <c r="T50" s="3">
        <v>0.2</v>
      </c>
      <c r="U50" s="3">
        <v>0.55797679448720983</v>
      </c>
      <c r="V50" s="3">
        <v>0.37898839724360489</v>
      </c>
      <c r="W50" s="3">
        <v>0.2</v>
      </c>
      <c r="X50" s="3">
        <v>0.2</v>
      </c>
      <c r="Y50" s="3">
        <v>0.2</v>
      </c>
    </row>
    <row r="51" spans="1:25" ht="17.25" customHeight="1" x14ac:dyDescent="0.2">
      <c r="A51" s="1" t="s">
        <v>90</v>
      </c>
      <c r="B51" s="3">
        <v>0.2</v>
      </c>
      <c r="C51" s="4">
        <v>1</v>
      </c>
      <c r="D51" s="4">
        <v>1</v>
      </c>
      <c r="E51" s="4">
        <v>1</v>
      </c>
      <c r="F51" s="4">
        <v>1</v>
      </c>
      <c r="G51" s="3">
        <v>0.83576538707944781</v>
      </c>
      <c r="H51" s="3">
        <v>0.67153077415888507</v>
      </c>
      <c r="I51" s="3">
        <v>0.49951939926136008</v>
      </c>
      <c r="J51" s="3">
        <v>0.32750802436383553</v>
      </c>
      <c r="K51" s="4">
        <v>1</v>
      </c>
      <c r="L51" s="3">
        <v>0.8007556074161668</v>
      </c>
      <c r="M51" s="3">
        <v>0.60151121483232761</v>
      </c>
      <c r="N51" s="3">
        <v>0.60151121483232761</v>
      </c>
      <c r="O51" s="3">
        <v>0.61156134697308473</v>
      </c>
      <c r="P51" s="3">
        <v>0.47405005666374223</v>
      </c>
      <c r="Q51" s="3">
        <v>0.33702502833187109</v>
      </c>
      <c r="R51" s="3">
        <v>0.2</v>
      </c>
      <c r="S51" s="3">
        <v>0.2</v>
      </c>
      <c r="T51" s="3">
        <v>0.2</v>
      </c>
      <c r="U51" s="3">
        <v>0.2</v>
      </c>
      <c r="V51" s="3">
        <v>0.2</v>
      </c>
      <c r="W51" s="3">
        <v>0.2</v>
      </c>
      <c r="X51" s="3">
        <v>0.2</v>
      </c>
      <c r="Y51" s="3">
        <v>0.2</v>
      </c>
    </row>
    <row r="52" spans="1:25" ht="17.25" customHeight="1" x14ac:dyDescent="0.2">
      <c r="A52" s="1" t="s">
        <v>91</v>
      </c>
      <c r="B52" s="3">
        <v>0.2</v>
      </c>
      <c r="C52" s="3">
        <v>0.2</v>
      </c>
      <c r="D52" s="4">
        <v>1</v>
      </c>
      <c r="E52" s="4">
        <v>1</v>
      </c>
      <c r="F52" s="4">
        <v>1</v>
      </c>
      <c r="G52" s="4">
        <v>1</v>
      </c>
      <c r="H52" s="3">
        <v>0.85608089190017045</v>
      </c>
      <c r="I52" s="3">
        <v>0.71216178380033679</v>
      </c>
      <c r="J52" s="3">
        <v>0.54041821625678821</v>
      </c>
      <c r="K52" s="3">
        <v>0.36867464871323963</v>
      </c>
      <c r="L52" s="4">
        <v>1</v>
      </c>
      <c r="M52" s="3">
        <v>0.86866428611931923</v>
      </c>
      <c r="N52" s="3">
        <v>0.73732857223864001</v>
      </c>
      <c r="O52" s="3">
        <v>0.5839447697388036</v>
      </c>
      <c r="P52" s="3">
        <v>0.43056096723898102</v>
      </c>
      <c r="Q52" s="3">
        <v>0.52020174588401269</v>
      </c>
      <c r="R52" s="3">
        <v>0.36010087294200638</v>
      </c>
      <c r="S52" s="3">
        <v>0.2</v>
      </c>
      <c r="T52" s="3">
        <v>0.48757424010545908</v>
      </c>
      <c r="U52" s="3">
        <v>0.3437871200527296</v>
      </c>
      <c r="V52" s="3">
        <v>0.2</v>
      </c>
      <c r="W52" s="3">
        <v>0.2</v>
      </c>
      <c r="X52" s="3">
        <v>0.2</v>
      </c>
      <c r="Y52" s="3">
        <v>0.2</v>
      </c>
    </row>
    <row r="53" spans="1:25" ht="17.25" customHeight="1" x14ac:dyDescent="0.2">
      <c r="A53" s="1" t="s">
        <v>92</v>
      </c>
      <c r="B53" s="3">
        <v>0.2</v>
      </c>
      <c r="C53" s="3">
        <v>0.2</v>
      </c>
      <c r="D53" s="3">
        <v>0.2</v>
      </c>
      <c r="E53" s="4">
        <v>1</v>
      </c>
      <c r="F53" s="4">
        <v>1</v>
      </c>
      <c r="G53" s="4">
        <v>1</v>
      </c>
      <c r="H53" s="3">
        <v>0.83933030465031366</v>
      </c>
      <c r="I53" s="3">
        <v>0.67866060930063332</v>
      </c>
      <c r="J53" s="3">
        <v>0.55028763961258564</v>
      </c>
      <c r="K53" s="4">
        <v>1</v>
      </c>
      <c r="L53" s="3">
        <v>0.86494095311041563</v>
      </c>
      <c r="M53" s="3">
        <v>0.72988190622082494</v>
      </c>
      <c r="N53" s="3">
        <v>0.85684811950469963</v>
      </c>
      <c r="O53" s="3">
        <v>0.68810331224787391</v>
      </c>
      <c r="P53" s="3">
        <v>0.51935850499104808</v>
      </c>
      <c r="Q53" s="3">
        <v>0.35967925249552402</v>
      </c>
      <c r="R53" s="3">
        <v>0.2</v>
      </c>
      <c r="S53" s="3">
        <v>0.2</v>
      </c>
      <c r="T53" s="3">
        <v>0.2</v>
      </c>
      <c r="U53" s="3">
        <v>0.2</v>
      </c>
      <c r="V53" s="3">
        <v>0.2</v>
      </c>
      <c r="W53" s="3">
        <v>0.2</v>
      </c>
      <c r="X53" s="3">
        <v>0.2</v>
      </c>
      <c r="Y53" s="3">
        <v>0.2</v>
      </c>
    </row>
    <row r="54" spans="1:25" ht="17.25" customHeight="1" x14ac:dyDescent="0.2">
      <c r="A54" s="1" t="s">
        <v>93</v>
      </c>
      <c r="B54" s="3">
        <v>0.2</v>
      </c>
      <c r="C54" s="4">
        <v>1</v>
      </c>
      <c r="D54" s="4">
        <v>1</v>
      </c>
      <c r="E54" s="4">
        <v>1</v>
      </c>
      <c r="F54" s="4">
        <v>1</v>
      </c>
      <c r="G54" s="4">
        <v>1</v>
      </c>
      <c r="H54" s="3">
        <v>0.85561865518664149</v>
      </c>
      <c r="I54" s="3">
        <v>0.71123731037328042</v>
      </c>
      <c r="J54" s="4">
        <v>1</v>
      </c>
      <c r="K54" s="3">
        <v>0.82827044674990824</v>
      </c>
      <c r="L54" s="3">
        <v>0.65654089349981648</v>
      </c>
      <c r="M54" s="4">
        <v>1</v>
      </c>
      <c r="N54" s="3">
        <v>0.81784154917676688</v>
      </c>
      <c r="O54" s="3">
        <v>0.63568309835353509</v>
      </c>
      <c r="P54" s="3">
        <v>0.70896807503793358</v>
      </c>
      <c r="Q54" s="3">
        <v>0.5490716422723102</v>
      </c>
      <c r="R54" s="3">
        <v>0.37453582113615508</v>
      </c>
      <c r="S54" s="3">
        <v>0.2</v>
      </c>
      <c r="T54" s="3">
        <v>0.2</v>
      </c>
      <c r="U54" s="3">
        <v>0.2</v>
      </c>
      <c r="V54" s="3">
        <v>0.2</v>
      </c>
      <c r="W54" s="3">
        <v>0.2</v>
      </c>
      <c r="X54" s="3">
        <v>0.2</v>
      </c>
      <c r="Y54" s="3">
        <v>0.2</v>
      </c>
    </row>
    <row r="55" spans="1:25" ht="17.25" customHeight="1" x14ac:dyDescent="0.2">
      <c r="A55" s="1" t="s">
        <v>94</v>
      </c>
      <c r="B55" s="3">
        <v>0.2</v>
      </c>
      <c r="C55" s="4">
        <v>1</v>
      </c>
      <c r="D55" s="4">
        <v>1</v>
      </c>
      <c r="E55" s="4">
        <v>1</v>
      </c>
      <c r="F55" s="4">
        <v>1</v>
      </c>
      <c r="G55" s="3">
        <v>0.84004869977002694</v>
      </c>
      <c r="H55" s="3">
        <v>0.68009739954005299</v>
      </c>
      <c r="I55" s="4">
        <v>1</v>
      </c>
      <c r="J55" s="3">
        <v>0.86060494207492944</v>
      </c>
      <c r="K55" s="3">
        <v>0.72120988414985432</v>
      </c>
      <c r="L55" s="3">
        <v>0.50762017246585522</v>
      </c>
      <c r="M55" s="3">
        <v>0.96333927757297433</v>
      </c>
      <c r="N55" s="3">
        <v>0.96333927757297411</v>
      </c>
      <c r="O55" s="3">
        <v>0.80780088092007851</v>
      </c>
      <c r="P55" s="3">
        <v>0.6679791244382185</v>
      </c>
      <c r="Q55" s="3">
        <v>0.52815736795635848</v>
      </c>
      <c r="R55" s="3">
        <v>0.36407868397818449</v>
      </c>
      <c r="S55" s="3">
        <v>0.2</v>
      </c>
      <c r="T55" s="3">
        <v>0.5590500898709182</v>
      </c>
      <c r="U55" s="3">
        <v>0.37952504493545908</v>
      </c>
      <c r="V55" s="3">
        <v>0.2</v>
      </c>
      <c r="W55" s="3">
        <v>0.2</v>
      </c>
      <c r="X55" s="3">
        <v>0.2</v>
      </c>
      <c r="Y55" s="3">
        <v>0.2</v>
      </c>
    </row>
    <row r="56" spans="1:25" ht="17.25" customHeight="1" x14ac:dyDescent="0.2">
      <c r="A56" s="1" t="s">
        <v>95</v>
      </c>
      <c r="B56" s="3">
        <v>0.2</v>
      </c>
      <c r="C56" s="3">
        <v>0.2</v>
      </c>
      <c r="D56" s="4">
        <v>1</v>
      </c>
      <c r="E56" s="4">
        <v>1</v>
      </c>
      <c r="F56" s="4">
        <v>1</v>
      </c>
      <c r="G56" s="3">
        <v>0.82184982716730104</v>
      </c>
      <c r="H56" s="3">
        <v>0.64369965433460175</v>
      </c>
      <c r="I56" s="3">
        <v>0.42820595578650378</v>
      </c>
      <c r="J56" s="3">
        <v>0.2127122572384014</v>
      </c>
      <c r="K56" s="4">
        <v>1</v>
      </c>
      <c r="L56" s="3">
        <v>0.82700087817712509</v>
      </c>
      <c r="M56" s="3">
        <v>0.66290173540805153</v>
      </c>
      <c r="N56" s="3">
        <v>0.49880259263897803</v>
      </c>
      <c r="O56" s="3">
        <v>0.84254372174613179</v>
      </c>
      <c r="P56" s="3">
        <v>0.6896039480486017</v>
      </c>
      <c r="Q56" s="3">
        <v>0.53666417435107172</v>
      </c>
      <c r="R56" s="3">
        <v>0.36833208717553578</v>
      </c>
      <c r="S56" s="3">
        <v>0.2</v>
      </c>
      <c r="T56" s="3">
        <v>0.2</v>
      </c>
      <c r="U56" s="3">
        <v>0.2</v>
      </c>
      <c r="V56" s="3">
        <v>0.2</v>
      </c>
      <c r="W56" s="3">
        <v>0.2</v>
      </c>
      <c r="X56" s="3">
        <v>0.2</v>
      </c>
      <c r="Y56" s="3">
        <v>0.2</v>
      </c>
    </row>
    <row r="57" spans="1:25" ht="17.25" customHeight="1" x14ac:dyDescent="0.2">
      <c r="A57" s="1" t="s">
        <v>96</v>
      </c>
      <c r="B57" s="3">
        <v>0.2</v>
      </c>
      <c r="C57" s="3">
        <v>0.2</v>
      </c>
      <c r="D57" s="3">
        <v>0.2</v>
      </c>
      <c r="E57" s="4">
        <v>1</v>
      </c>
      <c r="F57" s="4">
        <v>1</v>
      </c>
      <c r="G57" s="4">
        <v>1</v>
      </c>
      <c r="H57" s="3">
        <v>0.83913833163359386</v>
      </c>
      <c r="I57" s="3">
        <v>0.67827666326717995</v>
      </c>
      <c r="J57" s="4">
        <v>1</v>
      </c>
      <c r="K57" s="3">
        <v>0.84847403655661791</v>
      </c>
      <c r="L57" s="3">
        <v>0.6969480731132357</v>
      </c>
      <c r="M57" s="3">
        <v>0.98926609631566564</v>
      </c>
      <c r="N57" s="3">
        <v>0.81331848378982363</v>
      </c>
      <c r="O57" s="3">
        <v>0.63737087126398151</v>
      </c>
      <c r="P57" s="3">
        <v>0.51516312085895077</v>
      </c>
      <c r="Q57" s="3">
        <v>0.39295537045392009</v>
      </c>
      <c r="R57" s="3">
        <v>0.2</v>
      </c>
      <c r="S57" s="3">
        <v>0.2</v>
      </c>
      <c r="T57" s="3">
        <v>0.2</v>
      </c>
      <c r="U57" s="3">
        <v>0.52626343850602109</v>
      </c>
      <c r="V57" s="3">
        <v>0.36313171925301457</v>
      </c>
      <c r="W57" s="3">
        <v>0.2</v>
      </c>
      <c r="X57" s="3">
        <v>0.2</v>
      </c>
      <c r="Y57" s="3">
        <v>0.2</v>
      </c>
    </row>
    <row r="58" spans="1:25" ht="17.25" customHeight="1" x14ac:dyDescent="0.2">
      <c r="A58" s="1" t="s">
        <v>97</v>
      </c>
      <c r="B58" s="3">
        <v>0.2</v>
      </c>
      <c r="C58" s="3">
        <v>0.2</v>
      </c>
      <c r="D58" s="4">
        <v>1</v>
      </c>
      <c r="E58" s="4">
        <v>1</v>
      </c>
      <c r="F58" s="4">
        <v>1</v>
      </c>
      <c r="G58" s="3">
        <v>0.82243150214196814</v>
      </c>
      <c r="H58" s="3">
        <v>0.6448630042839536</v>
      </c>
      <c r="I58" s="3">
        <v>0.51703317289141382</v>
      </c>
      <c r="J58" s="3">
        <v>0.38920334149887481</v>
      </c>
      <c r="K58" s="4">
        <v>1</v>
      </c>
      <c r="L58" s="3">
        <v>0.86474311477760724</v>
      </c>
      <c r="M58" s="3">
        <v>0.94927736725194101</v>
      </c>
      <c r="N58" s="3">
        <v>0.80894151057121122</v>
      </c>
      <c r="O58" s="3">
        <v>0.66106619096274144</v>
      </c>
      <c r="P58" s="3">
        <v>0.51319087135427166</v>
      </c>
      <c r="Q58" s="3">
        <v>0.35659543567713592</v>
      </c>
      <c r="R58" s="3">
        <v>0.2</v>
      </c>
      <c r="S58" s="3">
        <v>0.3810145337453259</v>
      </c>
      <c r="T58" s="3">
        <v>0.2</v>
      </c>
      <c r="U58" s="3">
        <v>0.2</v>
      </c>
      <c r="V58" s="3">
        <v>0.2</v>
      </c>
      <c r="W58" s="3">
        <v>0.2</v>
      </c>
      <c r="X58" s="3">
        <v>0.2</v>
      </c>
      <c r="Y58" s="3">
        <v>0.2</v>
      </c>
    </row>
    <row r="59" spans="1:25" ht="17.25" customHeight="1" x14ac:dyDescent="0.2">
      <c r="A59" s="1" t="s">
        <v>98</v>
      </c>
      <c r="B59" s="3">
        <v>0.2</v>
      </c>
      <c r="C59" s="3">
        <v>0.2</v>
      </c>
      <c r="D59" s="4">
        <v>1</v>
      </c>
      <c r="E59" s="4">
        <v>1</v>
      </c>
      <c r="F59" s="4">
        <v>1</v>
      </c>
      <c r="G59" s="4">
        <v>1</v>
      </c>
      <c r="H59" s="3">
        <v>0.85228032969775758</v>
      </c>
      <c r="I59" s="3">
        <v>0.70456065939552115</v>
      </c>
      <c r="J59" s="4">
        <v>1</v>
      </c>
      <c r="K59" s="3">
        <v>0.83268966718589077</v>
      </c>
      <c r="L59" s="3">
        <v>0.66537933437177277</v>
      </c>
      <c r="M59" s="3">
        <v>0.85964665623266401</v>
      </c>
      <c r="N59" s="3">
        <v>0.73183222666729464</v>
      </c>
      <c r="O59" s="3">
        <v>0.58995046103986715</v>
      </c>
      <c r="P59" s="3">
        <v>0.44806869541243971</v>
      </c>
      <c r="Q59" s="3">
        <v>0.32403434770621981</v>
      </c>
      <c r="R59" s="3">
        <v>0.2</v>
      </c>
      <c r="S59" s="3">
        <v>0.2</v>
      </c>
      <c r="T59" s="3">
        <v>0.2</v>
      </c>
      <c r="U59" s="3">
        <v>0.2</v>
      </c>
      <c r="V59" s="3">
        <v>0.2</v>
      </c>
      <c r="W59" s="3">
        <v>0.2</v>
      </c>
      <c r="X59" s="3">
        <v>0.2</v>
      </c>
      <c r="Y59" s="3">
        <v>0.2</v>
      </c>
    </row>
    <row r="60" spans="1:25" ht="17.25" customHeight="1" x14ac:dyDescent="0.2">
      <c r="A60" s="1" t="s">
        <v>99</v>
      </c>
      <c r="B60" s="3">
        <v>0.2</v>
      </c>
      <c r="C60" s="3">
        <v>0.2</v>
      </c>
      <c r="D60" s="3">
        <v>0.2</v>
      </c>
      <c r="E60" s="4">
        <v>1</v>
      </c>
      <c r="F60" s="4">
        <v>1</v>
      </c>
      <c r="G60" s="4">
        <v>1</v>
      </c>
      <c r="H60" s="3">
        <v>0.82353982572483786</v>
      </c>
      <c r="I60" s="3">
        <v>0.64707965144967783</v>
      </c>
      <c r="J60" s="3">
        <v>0.4706194771745203</v>
      </c>
      <c r="K60" s="3">
        <v>0.311753698781776</v>
      </c>
      <c r="L60" s="3">
        <v>0.9797284772016136</v>
      </c>
      <c r="M60" s="3">
        <v>0.9797284772016136</v>
      </c>
      <c r="N60" s="3">
        <v>0.78134973207852165</v>
      </c>
      <c r="O60" s="3">
        <v>0.5829709869554297</v>
      </c>
      <c r="P60" s="3">
        <v>0.45531399130361982</v>
      </c>
      <c r="Q60" s="3">
        <v>0.32765699565180989</v>
      </c>
      <c r="R60" s="3">
        <v>0.2</v>
      </c>
      <c r="S60" s="3">
        <v>0.2</v>
      </c>
      <c r="T60" s="3">
        <v>0.56141898712144034</v>
      </c>
      <c r="U60" s="3">
        <v>0.3807094935607202</v>
      </c>
      <c r="V60" s="3">
        <v>0.2</v>
      </c>
      <c r="W60" s="3">
        <v>0.2</v>
      </c>
      <c r="X60" s="3">
        <v>0.2</v>
      </c>
      <c r="Y60" s="3">
        <v>0.2</v>
      </c>
    </row>
    <row r="61" spans="1:25" ht="17.25" customHeight="1" x14ac:dyDescent="0.2">
      <c r="A61" s="1" t="s">
        <v>100</v>
      </c>
      <c r="B61" s="3">
        <v>0.2</v>
      </c>
      <c r="C61" s="3">
        <v>0.2</v>
      </c>
      <c r="D61" s="3">
        <v>0.2</v>
      </c>
      <c r="E61" s="4">
        <v>1</v>
      </c>
      <c r="F61" s="4">
        <v>1</v>
      </c>
      <c r="G61" s="4">
        <v>1</v>
      </c>
      <c r="H61" s="3">
        <v>0.83945121821636459</v>
      </c>
      <c r="I61" s="3">
        <v>0.67890243643272963</v>
      </c>
      <c r="J61" s="3">
        <v>0.50840825653726418</v>
      </c>
      <c r="K61" s="3">
        <v>0.3379140766418029</v>
      </c>
      <c r="L61" s="4">
        <v>1</v>
      </c>
      <c r="M61" s="3">
        <v>0.8397912468706985</v>
      </c>
      <c r="N61" s="3">
        <v>0.67958249374139712</v>
      </c>
      <c r="O61" s="3">
        <v>0.53117556127302479</v>
      </c>
      <c r="P61" s="3">
        <v>0.38276862880465251</v>
      </c>
      <c r="Q61" s="3">
        <v>0.20033540824292681</v>
      </c>
      <c r="R61" s="3">
        <v>0.70467784848951842</v>
      </c>
      <c r="S61" s="3">
        <v>0.53364368329702694</v>
      </c>
      <c r="T61" s="3">
        <v>0.53364368329703016</v>
      </c>
      <c r="U61" s="3">
        <v>0.36682184164851722</v>
      </c>
      <c r="V61" s="3">
        <v>0.2</v>
      </c>
      <c r="W61" s="3">
        <v>0.2</v>
      </c>
      <c r="X61" s="3">
        <v>0.2</v>
      </c>
      <c r="Y61" s="3">
        <v>0.2</v>
      </c>
    </row>
    <row r="62" spans="1:25" ht="17.25" customHeight="1" x14ac:dyDescent="0.2">
      <c r="A62" s="1" t="s">
        <v>101</v>
      </c>
      <c r="B62" s="3">
        <v>0.2</v>
      </c>
      <c r="C62" s="4">
        <v>1</v>
      </c>
      <c r="D62" s="4">
        <v>1</v>
      </c>
      <c r="E62" s="4">
        <v>1</v>
      </c>
      <c r="F62" s="4">
        <v>1</v>
      </c>
      <c r="G62" s="4">
        <v>1</v>
      </c>
      <c r="H62" s="3">
        <v>0.86200823515894298</v>
      </c>
      <c r="I62" s="3">
        <v>0.72401647031788774</v>
      </c>
      <c r="J62" s="3">
        <v>0.53367508052012869</v>
      </c>
      <c r="K62" s="3">
        <v>0.34333369072236969</v>
      </c>
      <c r="L62" s="3">
        <v>0.99006560795981613</v>
      </c>
      <c r="M62" s="3">
        <v>0.80926745323880001</v>
      </c>
      <c r="N62" s="3">
        <v>0.62846929851778377</v>
      </c>
      <c r="O62" s="3">
        <v>0.50189908355071022</v>
      </c>
      <c r="P62" s="3">
        <v>0.35094954177535509</v>
      </c>
      <c r="Q62" s="3">
        <v>0.2</v>
      </c>
      <c r="R62" s="3">
        <v>0.54895520141127152</v>
      </c>
      <c r="S62" s="3">
        <v>0.37447760070563568</v>
      </c>
      <c r="T62" s="3">
        <v>0.2</v>
      </c>
      <c r="U62" s="3">
        <v>0.2</v>
      </c>
      <c r="V62" s="3">
        <v>0.2</v>
      </c>
      <c r="W62" s="3">
        <v>0.39240563287300462</v>
      </c>
      <c r="X62" s="3">
        <v>0.2</v>
      </c>
      <c r="Y62" s="3">
        <v>0.2</v>
      </c>
    </row>
    <row r="63" spans="1:25" ht="17.25" customHeight="1" x14ac:dyDescent="0.2">
      <c r="A63" s="1" t="s">
        <v>102</v>
      </c>
      <c r="B63" s="3">
        <v>0.2</v>
      </c>
      <c r="C63" s="3">
        <v>0.2</v>
      </c>
      <c r="D63" s="4">
        <v>1</v>
      </c>
      <c r="E63" s="4">
        <v>1</v>
      </c>
      <c r="F63" s="4">
        <v>1</v>
      </c>
      <c r="G63" s="3">
        <v>0.84359638333152343</v>
      </c>
      <c r="H63" s="3">
        <v>0.68642997197284894</v>
      </c>
      <c r="I63" s="3">
        <v>0.52239337368246896</v>
      </c>
      <c r="J63" s="3">
        <v>0.35835677539208888</v>
      </c>
      <c r="K63" s="3">
        <v>0.22102129002926749</v>
      </c>
      <c r="L63" s="3">
        <v>0.99970730396159613</v>
      </c>
      <c r="M63" s="3">
        <v>0.81819921211299118</v>
      </c>
      <c r="N63" s="3">
        <v>0.64884939728602109</v>
      </c>
      <c r="O63" s="3">
        <v>0.47949958245905089</v>
      </c>
      <c r="P63" s="3">
        <v>0.33974979122952109</v>
      </c>
      <c r="Q63" s="3">
        <v>0.2</v>
      </c>
      <c r="R63" s="3">
        <v>0.53831750477635554</v>
      </c>
      <c r="S63" s="3">
        <v>0.36915875238817769</v>
      </c>
      <c r="T63" s="3">
        <v>0.2</v>
      </c>
      <c r="U63" s="3">
        <v>0.2</v>
      </c>
      <c r="V63" s="3">
        <v>0.39789410571470429</v>
      </c>
      <c r="W63" s="3">
        <v>0.2</v>
      </c>
      <c r="X63" s="3">
        <v>0.2</v>
      </c>
      <c r="Y63" s="3">
        <v>0.2</v>
      </c>
    </row>
    <row r="64" spans="1:25" ht="17.25" customHeight="1" x14ac:dyDescent="0.2">
      <c r="A64" s="1" t="s">
        <v>103</v>
      </c>
      <c r="B64" s="3">
        <v>0.2</v>
      </c>
      <c r="C64" s="3">
        <v>0.2</v>
      </c>
      <c r="D64" s="3">
        <v>0.2</v>
      </c>
      <c r="E64" s="4">
        <v>1</v>
      </c>
      <c r="F64" s="4">
        <v>1</v>
      </c>
      <c r="G64" s="3">
        <v>0.84277406229138674</v>
      </c>
      <c r="H64" s="4">
        <v>1</v>
      </c>
      <c r="I64" s="3">
        <v>0.81222977469279789</v>
      </c>
      <c r="J64" s="3">
        <v>0.62982001067089044</v>
      </c>
      <c r="K64" s="4">
        <v>1</v>
      </c>
      <c r="L64" s="3">
        <v>0.84392512273837184</v>
      </c>
      <c r="M64" s="3">
        <v>0.68785024547674356</v>
      </c>
      <c r="N64" s="3">
        <v>0.68785024547674356</v>
      </c>
      <c r="O64" s="3">
        <v>0.72175463629707914</v>
      </c>
      <c r="P64" s="3">
        <v>0.5493680918617394</v>
      </c>
      <c r="Q64" s="3">
        <v>0.37468404593086968</v>
      </c>
      <c r="R64" s="3">
        <v>0.2</v>
      </c>
      <c r="S64" s="3">
        <v>0.52804878728168958</v>
      </c>
      <c r="T64" s="3">
        <v>0.36402439364084482</v>
      </c>
      <c r="U64" s="3">
        <v>0.2</v>
      </c>
      <c r="V64" s="3">
        <v>0.2</v>
      </c>
      <c r="W64" s="3">
        <v>0.2</v>
      </c>
      <c r="X64" s="3">
        <v>0.2</v>
      </c>
      <c r="Y64" s="3">
        <v>0.2</v>
      </c>
    </row>
    <row r="65" spans="1:25" ht="17.25" customHeight="1" x14ac:dyDescent="0.2">
      <c r="A65" s="1" t="s">
        <v>104</v>
      </c>
      <c r="B65" s="3">
        <v>0.2</v>
      </c>
      <c r="C65" s="3">
        <v>0.2</v>
      </c>
      <c r="D65" s="4">
        <v>1</v>
      </c>
      <c r="E65" s="4">
        <v>1</v>
      </c>
      <c r="F65" s="4">
        <v>1</v>
      </c>
      <c r="G65" s="4">
        <v>1</v>
      </c>
      <c r="H65" s="3">
        <v>0.84651372546711867</v>
      </c>
      <c r="I65" s="3">
        <v>0.69302745093423068</v>
      </c>
      <c r="J65" s="3">
        <v>0.52254084941207346</v>
      </c>
      <c r="K65" s="3">
        <v>0.35205424788991502</v>
      </c>
      <c r="L65" s="4">
        <v>1</v>
      </c>
      <c r="M65" s="3">
        <v>0.83080252626180406</v>
      </c>
      <c r="N65" s="3">
        <v>0.66160505252361501</v>
      </c>
      <c r="O65" s="3">
        <v>0.48856215508899042</v>
      </c>
      <c r="P65" s="3">
        <v>0.31551925765436639</v>
      </c>
      <c r="Q65" s="3">
        <v>0.2071010056209632</v>
      </c>
      <c r="R65" s="3">
        <v>0.53874195924868529</v>
      </c>
      <c r="S65" s="3">
        <v>0.36937097962434268</v>
      </c>
      <c r="T65" s="3">
        <v>0.2</v>
      </c>
      <c r="U65" s="3">
        <v>0.2</v>
      </c>
      <c r="V65" s="3">
        <v>0.2</v>
      </c>
      <c r="W65" s="3">
        <v>0.2</v>
      </c>
      <c r="X65" s="3">
        <v>0.2</v>
      </c>
      <c r="Y65" s="3">
        <v>0.2</v>
      </c>
    </row>
    <row r="66" spans="1:25" ht="17.25" customHeight="1" x14ac:dyDescent="0.2">
      <c r="A66" s="1" t="s">
        <v>105</v>
      </c>
      <c r="B66" s="3">
        <v>0.2</v>
      </c>
      <c r="C66" s="3">
        <v>0.2</v>
      </c>
      <c r="D66" s="4">
        <v>1</v>
      </c>
      <c r="E66" s="4">
        <v>1</v>
      </c>
      <c r="F66" s="4">
        <v>1</v>
      </c>
      <c r="G66" s="4">
        <v>1</v>
      </c>
      <c r="H66" s="3">
        <v>0.82101300452453529</v>
      </c>
      <c r="I66" s="3">
        <v>0.64202600904907159</v>
      </c>
      <c r="J66" s="4">
        <v>1</v>
      </c>
      <c r="K66" s="3">
        <v>0.84559375336845966</v>
      </c>
      <c r="L66" s="3">
        <v>0.69118750673691931</v>
      </c>
      <c r="M66" s="3">
        <v>0.87098896244061874</v>
      </c>
      <c r="N66" s="3">
        <v>0.72061811135617737</v>
      </c>
      <c r="O66" s="3">
        <v>0.570247260271736</v>
      </c>
      <c r="P66" s="3">
        <v>0.44707467014510027</v>
      </c>
      <c r="Q66" s="3">
        <v>0.32390208001846482</v>
      </c>
      <c r="R66" s="3">
        <v>0.2</v>
      </c>
      <c r="S66" s="3">
        <v>0.54124668992629266</v>
      </c>
      <c r="T66" s="3">
        <v>0.37062334496314642</v>
      </c>
      <c r="U66" s="3">
        <v>0.2</v>
      </c>
      <c r="V66" s="3">
        <v>0.2</v>
      </c>
      <c r="W66" s="3">
        <v>0.2</v>
      </c>
      <c r="X66" s="3">
        <v>0.2</v>
      </c>
      <c r="Y66" s="3">
        <v>0.2</v>
      </c>
    </row>
    <row r="67" spans="1:25" ht="17.25" customHeight="1" x14ac:dyDescent="0.2">
      <c r="A67" s="1" t="s">
        <v>106</v>
      </c>
      <c r="B67" s="3">
        <v>0.2</v>
      </c>
      <c r="C67" s="3">
        <v>0.2</v>
      </c>
      <c r="D67" s="3">
        <v>0.2</v>
      </c>
      <c r="E67" s="4">
        <v>1</v>
      </c>
      <c r="F67" s="4">
        <v>1</v>
      </c>
      <c r="G67" s="3">
        <v>0.80134110943970238</v>
      </c>
      <c r="H67" s="4">
        <v>1</v>
      </c>
      <c r="I67" s="3">
        <v>0.86522160840431106</v>
      </c>
      <c r="J67" s="3">
        <v>0.73044321680862212</v>
      </c>
      <c r="K67" s="4">
        <v>1</v>
      </c>
      <c r="L67" s="3">
        <v>0.84964032072344087</v>
      </c>
      <c r="M67" s="3">
        <v>0.69928064144687507</v>
      </c>
      <c r="N67" s="3">
        <v>0.511635363386447</v>
      </c>
      <c r="O67" s="3">
        <v>0.32399008532600831</v>
      </c>
      <c r="P67" s="3">
        <v>0.49463186669523113</v>
      </c>
      <c r="Q67" s="3">
        <v>0.34731593334761562</v>
      </c>
      <c r="R67" s="3">
        <v>0.2</v>
      </c>
      <c r="S67" s="3">
        <v>0.48652844951488089</v>
      </c>
      <c r="T67" s="3">
        <v>0.34326422475744051</v>
      </c>
      <c r="U67" s="3">
        <v>0.2</v>
      </c>
      <c r="V67" s="3">
        <v>0.56304125092412971</v>
      </c>
      <c r="W67" s="3">
        <v>0.38152062546205912</v>
      </c>
      <c r="X67" s="3">
        <v>0.2</v>
      </c>
      <c r="Y67" s="3">
        <v>0.2</v>
      </c>
    </row>
    <row r="68" spans="1:25" ht="17.25" customHeight="1" x14ac:dyDescent="0.2">
      <c r="A68" s="1" t="s">
        <v>107</v>
      </c>
      <c r="B68" s="3">
        <v>0.2</v>
      </c>
      <c r="C68" s="3">
        <v>0.2</v>
      </c>
      <c r="D68" s="4">
        <v>1</v>
      </c>
      <c r="E68" s="4">
        <v>1</v>
      </c>
      <c r="F68" s="3">
        <v>0.74259087065280927</v>
      </c>
      <c r="G68" s="4">
        <v>1</v>
      </c>
      <c r="H68" s="3">
        <v>0.84447109680530685</v>
      </c>
      <c r="I68" s="3">
        <v>0.68894219361057796</v>
      </c>
      <c r="J68" s="4">
        <v>1</v>
      </c>
      <c r="K68" s="3">
        <v>0.81203849526418315</v>
      </c>
      <c r="L68" s="3">
        <v>0.62407699052835541</v>
      </c>
      <c r="M68" s="3">
        <v>0.49015331219227493</v>
      </c>
      <c r="N68" s="3">
        <v>0.78706837899831739</v>
      </c>
      <c r="O68" s="3">
        <v>0.65639472104317076</v>
      </c>
      <c r="P68" s="3">
        <v>0.52572106308802402</v>
      </c>
      <c r="Q68" s="3">
        <v>0.52572106308802402</v>
      </c>
      <c r="R68" s="3">
        <v>0.36286053154401199</v>
      </c>
      <c r="S68" s="3">
        <v>0.2</v>
      </c>
      <c r="T68" s="3">
        <v>0.2</v>
      </c>
      <c r="U68" s="3">
        <v>0.2</v>
      </c>
      <c r="V68" s="3">
        <v>0.2</v>
      </c>
      <c r="W68" s="3">
        <v>0.2</v>
      </c>
      <c r="X68" s="3">
        <v>0.2</v>
      </c>
      <c r="Y68" s="3">
        <v>0.2</v>
      </c>
    </row>
    <row r="69" spans="1:25" ht="17.25" customHeight="1" x14ac:dyDescent="0.2">
      <c r="A69" s="1" t="s">
        <v>108</v>
      </c>
      <c r="B69" s="3">
        <v>0.2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3">
        <v>0.82946096157003446</v>
      </c>
      <c r="I69" s="3">
        <v>0.65892192314006892</v>
      </c>
      <c r="J69" s="4">
        <v>1</v>
      </c>
      <c r="K69" s="3">
        <v>0.83229715466245768</v>
      </c>
      <c r="L69" s="3">
        <v>0.66459430932490404</v>
      </c>
      <c r="M69" s="3">
        <v>0.50230932954266339</v>
      </c>
      <c r="N69" s="3">
        <v>0.34002434976042739</v>
      </c>
      <c r="O69" s="3">
        <v>0.61086972263700612</v>
      </c>
      <c r="P69" s="3">
        <v>0.47242937489465731</v>
      </c>
      <c r="Q69" s="3">
        <v>0.3339890271523086</v>
      </c>
      <c r="R69" s="3">
        <v>0.2</v>
      </c>
      <c r="S69" s="3">
        <v>0.2</v>
      </c>
      <c r="T69" s="3">
        <v>0.2</v>
      </c>
      <c r="U69" s="3">
        <v>0.57845358900886812</v>
      </c>
      <c r="V69" s="3">
        <v>0.38922679450443398</v>
      </c>
      <c r="W69" s="3">
        <v>0.2</v>
      </c>
      <c r="X69" s="3">
        <v>0.2</v>
      </c>
      <c r="Y69" s="3">
        <v>0.2</v>
      </c>
    </row>
    <row r="70" spans="1:25" ht="17.25" customHeight="1" x14ac:dyDescent="0.2">
      <c r="A70" s="1" t="s">
        <v>109</v>
      </c>
      <c r="B70" s="3">
        <v>0.2</v>
      </c>
      <c r="C70" s="3">
        <v>0.2</v>
      </c>
      <c r="D70" s="3">
        <v>0.2</v>
      </c>
      <c r="E70" s="4">
        <v>1</v>
      </c>
      <c r="F70" s="4">
        <v>1</v>
      </c>
      <c r="G70" s="4">
        <v>1</v>
      </c>
      <c r="H70" s="3">
        <v>0.84075868882560045</v>
      </c>
      <c r="I70" s="3">
        <v>0.68997185039248266</v>
      </c>
      <c r="J70" s="3">
        <v>0.53918501195934887</v>
      </c>
      <c r="K70" s="4">
        <v>1</v>
      </c>
      <c r="L70" s="3">
        <v>0.80085640254443635</v>
      </c>
      <c r="M70" s="3">
        <v>0.89427647883978156</v>
      </c>
      <c r="N70" s="3">
        <v>0.73356403242144619</v>
      </c>
      <c r="O70" s="3">
        <v>0.55191960870780399</v>
      </c>
      <c r="P70" s="3">
        <v>0.42173110091467447</v>
      </c>
      <c r="Q70" s="3">
        <v>0.31086555045733733</v>
      </c>
      <c r="R70" s="3">
        <v>0.2</v>
      </c>
      <c r="S70" s="3">
        <v>0.2</v>
      </c>
      <c r="T70" s="3">
        <v>0.2</v>
      </c>
      <c r="U70" s="3">
        <v>0.34202206627420062</v>
      </c>
      <c r="V70" s="3">
        <v>0.34202206627420062</v>
      </c>
      <c r="W70" s="3">
        <v>0.2</v>
      </c>
      <c r="X70" s="3">
        <v>0.2</v>
      </c>
      <c r="Y70" s="3">
        <v>0.2</v>
      </c>
    </row>
    <row r="71" spans="1:25" ht="17.25" customHeight="1" x14ac:dyDescent="0.2">
      <c r="A71" s="1" t="s">
        <v>110</v>
      </c>
      <c r="B71" s="3">
        <v>0.2</v>
      </c>
      <c r="C71" s="3">
        <v>0.2</v>
      </c>
      <c r="D71" s="4">
        <v>1</v>
      </c>
      <c r="E71" s="4">
        <v>1</v>
      </c>
      <c r="F71" s="4">
        <v>1</v>
      </c>
      <c r="G71" s="4">
        <v>1</v>
      </c>
      <c r="H71" s="3">
        <v>0.82485956397457605</v>
      </c>
      <c r="I71" s="3">
        <v>0.64971912794914977</v>
      </c>
      <c r="J71" s="3">
        <v>0.47927887618872789</v>
      </c>
      <c r="K71" s="3">
        <v>0.3088386244283059</v>
      </c>
      <c r="L71" s="4">
        <v>1</v>
      </c>
      <c r="M71" s="3">
        <v>0.82208027571740305</v>
      </c>
      <c r="N71" s="3">
        <v>0.644160551434802</v>
      </c>
      <c r="O71" s="3">
        <v>0.46624082715219839</v>
      </c>
      <c r="P71" s="3">
        <v>0.47223858181897022</v>
      </c>
      <c r="Q71" s="3">
        <v>0.33611929090948511</v>
      </c>
      <c r="R71" s="3">
        <v>0.2</v>
      </c>
      <c r="S71" s="3">
        <v>0.2</v>
      </c>
      <c r="T71" s="3">
        <v>0.2</v>
      </c>
      <c r="U71" s="3">
        <v>0.52167610791325525</v>
      </c>
      <c r="V71" s="3">
        <v>0.52167610791325525</v>
      </c>
      <c r="W71" s="3">
        <v>0.36083805395662838</v>
      </c>
      <c r="X71" s="3">
        <v>0.2</v>
      </c>
      <c r="Y71" s="3">
        <v>0.2</v>
      </c>
    </row>
    <row r="72" spans="1:25" ht="17.25" customHeight="1" x14ac:dyDescent="0.2">
      <c r="A72" s="1" t="s">
        <v>111</v>
      </c>
      <c r="B72" s="3">
        <v>0.2</v>
      </c>
      <c r="C72" s="3">
        <v>0.2</v>
      </c>
      <c r="D72" s="3">
        <v>0.2</v>
      </c>
      <c r="E72" s="4">
        <v>1</v>
      </c>
      <c r="F72" s="4">
        <v>1</v>
      </c>
      <c r="G72" s="4">
        <v>1</v>
      </c>
      <c r="H72" s="3">
        <v>0.83062711370592368</v>
      </c>
      <c r="I72" s="3">
        <v>0.66125422741181539</v>
      </c>
      <c r="J72" s="4">
        <v>1</v>
      </c>
      <c r="K72" s="3">
        <v>0.83617492558520279</v>
      </c>
      <c r="L72" s="3">
        <v>0.67234985117040569</v>
      </c>
      <c r="M72" s="3">
        <v>0.77490551346836056</v>
      </c>
      <c r="N72" s="3">
        <v>0.62664693971239016</v>
      </c>
      <c r="O72" s="3">
        <v>0.47838836595641981</v>
      </c>
      <c r="P72" s="3">
        <v>0.33919418297820991</v>
      </c>
      <c r="Q72" s="3">
        <v>0.2</v>
      </c>
      <c r="R72" s="3">
        <v>0.2</v>
      </c>
      <c r="S72" s="3">
        <v>0.55591765662458592</v>
      </c>
      <c r="T72" s="3">
        <v>0.37795882831229288</v>
      </c>
      <c r="U72" s="3">
        <v>0.2</v>
      </c>
      <c r="V72" s="3">
        <v>0.2</v>
      </c>
      <c r="W72" s="3">
        <v>0.2</v>
      </c>
      <c r="X72" s="3">
        <v>0.2</v>
      </c>
      <c r="Y72" s="3">
        <v>0.2</v>
      </c>
    </row>
    <row r="73" spans="1:25" ht="17.25" customHeight="1" x14ac:dyDescent="0.2">
      <c r="A73" s="1" t="s">
        <v>112</v>
      </c>
      <c r="B73" s="3">
        <v>0.2</v>
      </c>
      <c r="C73" s="3">
        <v>0.2</v>
      </c>
      <c r="D73" s="3">
        <v>0.2</v>
      </c>
      <c r="E73" s="4">
        <v>1</v>
      </c>
      <c r="F73" s="4">
        <v>1</v>
      </c>
      <c r="G73" s="3">
        <v>0.81223697404646977</v>
      </c>
      <c r="H73" s="3">
        <v>0.62447394809294232</v>
      </c>
      <c r="I73" s="3">
        <v>0.49020028852718628</v>
      </c>
      <c r="J73" s="4">
        <v>1</v>
      </c>
      <c r="K73" s="3">
        <v>0.86870868916151511</v>
      </c>
      <c r="L73" s="3">
        <v>0.73741737832303011</v>
      </c>
      <c r="M73" s="3">
        <v>0.90646214522168911</v>
      </c>
      <c r="N73" s="3">
        <v>0.73676737279904181</v>
      </c>
      <c r="O73" s="3">
        <v>0.56707260037639462</v>
      </c>
      <c r="P73" s="3">
        <v>0.38353630018819729</v>
      </c>
      <c r="Q73" s="3">
        <v>0.2</v>
      </c>
      <c r="R73" s="3">
        <v>0.54893834668563746</v>
      </c>
      <c r="S73" s="3">
        <v>0.354106848887425</v>
      </c>
      <c r="T73" s="3">
        <v>0.2</v>
      </c>
      <c r="U73" s="3">
        <v>0.70350004313971493</v>
      </c>
      <c r="V73" s="3">
        <v>0.70350004313971493</v>
      </c>
      <c r="W73" s="3">
        <v>0.45175002156985522</v>
      </c>
      <c r="X73" s="3">
        <v>0.2</v>
      </c>
      <c r="Y73" s="3">
        <v>0.2</v>
      </c>
    </row>
    <row r="74" spans="1:25" ht="17.25" customHeight="1" x14ac:dyDescent="0.2">
      <c r="A74" s="1" t="s">
        <v>113</v>
      </c>
      <c r="B74" s="3">
        <v>0.2</v>
      </c>
      <c r="C74" s="4">
        <v>1</v>
      </c>
      <c r="D74" s="4">
        <v>1</v>
      </c>
      <c r="E74" s="4">
        <v>1</v>
      </c>
      <c r="F74" s="4">
        <v>1</v>
      </c>
      <c r="G74" s="3">
        <v>0.8410901499518999</v>
      </c>
      <c r="H74" s="3">
        <v>0.68218029990380458</v>
      </c>
      <c r="I74" s="4">
        <v>1</v>
      </c>
      <c r="J74" s="3">
        <v>0.84408788225031173</v>
      </c>
      <c r="K74" s="3">
        <v>0.68817576450060247</v>
      </c>
      <c r="L74" s="3">
        <v>0.53162260336407741</v>
      </c>
      <c r="M74" s="3">
        <v>0.37506944222753652</v>
      </c>
      <c r="N74" s="3">
        <v>0.21218808223274399</v>
      </c>
      <c r="O74" s="3">
        <v>0.48848066313360428</v>
      </c>
      <c r="P74" s="3">
        <v>0.34424033156680223</v>
      </c>
      <c r="Q74" s="3">
        <v>0.2</v>
      </c>
      <c r="R74" s="3">
        <v>0.41223094386068998</v>
      </c>
      <c r="S74" s="3">
        <v>0.2</v>
      </c>
      <c r="T74" s="3">
        <v>0.55232319861685386</v>
      </c>
      <c r="U74" s="3">
        <v>0.37616159930842691</v>
      </c>
      <c r="V74" s="3">
        <v>0.2</v>
      </c>
      <c r="W74" s="3">
        <v>0.2</v>
      </c>
      <c r="X74" s="3">
        <v>0.2</v>
      </c>
      <c r="Y74" s="3">
        <v>0.2</v>
      </c>
    </row>
    <row r="75" spans="1:25" ht="17.25" customHeight="1" x14ac:dyDescent="0.2">
      <c r="A75" s="1" t="s">
        <v>114</v>
      </c>
      <c r="B75" s="3">
        <v>0.2</v>
      </c>
      <c r="C75" s="3">
        <v>0.2</v>
      </c>
      <c r="D75" s="3">
        <v>0.2</v>
      </c>
      <c r="E75" s="4">
        <v>1</v>
      </c>
      <c r="F75" s="4">
        <v>1</v>
      </c>
      <c r="G75" s="3">
        <v>0.7672661763788704</v>
      </c>
      <c r="H75" s="4">
        <v>1</v>
      </c>
      <c r="I75" s="4">
        <v>1</v>
      </c>
      <c r="J75" s="4">
        <v>1</v>
      </c>
      <c r="K75" s="3">
        <v>0.84052396856413514</v>
      </c>
      <c r="L75" s="3">
        <v>0.68104793712827028</v>
      </c>
      <c r="M75" s="3">
        <v>0.78986400655989619</v>
      </c>
      <c r="N75" s="3">
        <v>0.65044962747398416</v>
      </c>
      <c r="O75" s="3">
        <v>0.49004230920557601</v>
      </c>
      <c r="P75" s="3">
        <v>0.32963499093716792</v>
      </c>
      <c r="Q75" s="3">
        <v>0.2</v>
      </c>
      <c r="R75" s="3">
        <v>0.70423572524344791</v>
      </c>
      <c r="S75" s="3">
        <v>0.53769263673818668</v>
      </c>
      <c r="T75" s="3">
        <v>0.37114954823292551</v>
      </c>
      <c r="U75" s="3">
        <v>0.2</v>
      </c>
      <c r="V75" s="3">
        <v>0.35301730198439429</v>
      </c>
      <c r="W75" s="3">
        <v>0.2</v>
      </c>
      <c r="X75" s="3">
        <v>0.2</v>
      </c>
      <c r="Y75" s="3">
        <v>0.2</v>
      </c>
    </row>
    <row r="76" spans="1:25" ht="17.25" customHeight="1" x14ac:dyDescent="0.2">
      <c r="A76" s="1" t="s">
        <v>115</v>
      </c>
      <c r="B76" s="3">
        <v>0.2</v>
      </c>
      <c r="C76" s="3">
        <v>0.2</v>
      </c>
      <c r="D76" s="4">
        <v>1</v>
      </c>
      <c r="E76" s="4">
        <v>1</v>
      </c>
      <c r="F76" s="4">
        <v>1</v>
      </c>
      <c r="G76" s="4">
        <v>1</v>
      </c>
      <c r="H76" s="3">
        <v>0.8692471780286023</v>
      </c>
      <c r="I76" s="3">
        <v>0.71468201990247449</v>
      </c>
      <c r="J76" s="3">
        <v>0.5601168617763389</v>
      </c>
      <c r="K76" s="3">
        <v>0.4282197591671541</v>
      </c>
      <c r="L76" s="4">
        <v>1</v>
      </c>
      <c r="M76" s="3">
        <v>0.86500141182680845</v>
      </c>
      <c r="N76" s="3">
        <v>0.92647983999699635</v>
      </c>
      <c r="O76" s="3">
        <v>0.72810307473355651</v>
      </c>
      <c r="P76" s="3">
        <v>0.52972630947011656</v>
      </c>
      <c r="Q76" s="3">
        <v>0.40670356072420649</v>
      </c>
      <c r="R76" s="3">
        <v>0.2</v>
      </c>
      <c r="S76" s="3">
        <v>0.2</v>
      </c>
      <c r="T76" s="3">
        <v>0.2</v>
      </c>
      <c r="U76" s="3">
        <v>0.2</v>
      </c>
      <c r="V76" s="3">
        <v>0.2</v>
      </c>
      <c r="W76" s="3">
        <v>0.2</v>
      </c>
      <c r="X76" s="3">
        <v>0.2</v>
      </c>
      <c r="Y76" s="3">
        <v>0.2</v>
      </c>
    </row>
    <row r="77" spans="1:25" ht="17.25" customHeight="1" x14ac:dyDescent="0.2">
      <c r="A77" s="1" t="s">
        <v>116</v>
      </c>
      <c r="B77" s="3">
        <v>0.2</v>
      </c>
      <c r="C77" s="3">
        <v>0.2</v>
      </c>
      <c r="D77" s="3">
        <v>0.2</v>
      </c>
      <c r="E77" s="4">
        <v>1</v>
      </c>
      <c r="F77" s="4">
        <v>1</v>
      </c>
      <c r="G77" s="3">
        <v>0.85705568778349439</v>
      </c>
      <c r="H77" s="3">
        <v>0.69442781519361996</v>
      </c>
      <c r="I77" s="4">
        <v>1</v>
      </c>
      <c r="J77" s="3">
        <v>0.86008122515299168</v>
      </c>
      <c r="K77" s="3">
        <v>0.63967905821150306</v>
      </c>
      <c r="L77" s="3">
        <v>0.4192768912700145</v>
      </c>
      <c r="M77" s="3">
        <v>0.92419721403089394</v>
      </c>
      <c r="N77" s="3">
        <v>0.77281640795651063</v>
      </c>
      <c r="O77" s="3">
        <v>0.62143560188212732</v>
      </c>
      <c r="P77" s="3">
        <v>0.47787531649780551</v>
      </c>
      <c r="Q77" s="3">
        <v>0.47787531649780551</v>
      </c>
      <c r="R77" s="3">
        <v>0.33893765824890271</v>
      </c>
      <c r="S77" s="3">
        <v>0.2</v>
      </c>
      <c r="T77" s="3">
        <v>0.2</v>
      </c>
      <c r="U77" s="3">
        <v>0.2</v>
      </c>
      <c r="V77" s="3">
        <v>0.2</v>
      </c>
      <c r="W77" s="3">
        <v>0.2</v>
      </c>
      <c r="X77" s="3">
        <v>0.2</v>
      </c>
      <c r="Y77" s="3">
        <v>0.2</v>
      </c>
    </row>
    <row r="78" spans="1:25" ht="17.25" customHeight="1" x14ac:dyDescent="0.2">
      <c r="A78" s="1" t="s">
        <v>117</v>
      </c>
      <c r="B78" s="3">
        <v>0.2</v>
      </c>
      <c r="C78" s="3">
        <v>0.2</v>
      </c>
      <c r="D78" s="4">
        <v>1</v>
      </c>
      <c r="E78" s="4">
        <v>1</v>
      </c>
      <c r="F78" s="4">
        <v>1</v>
      </c>
      <c r="G78" s="4">
        <v>1</v>
      </c>
      <c r="H78" s="3">
        <v>0.84761289151079244</v>
      </c>
      <c r="I78" s="3">
        <v>0.67678324065126827</v>
      </c>
      <c r="J78" s="3">
        <v>0.50595358979174243</v>
      </c>
      <c r="K78" s="3">
        <v>0.2847135404682502</v>
      </c>
      <c r="L78" s="4">
        <v>1</v>
      </c>
      <c r="M78" s="4">
        <v>1</v>
      </c>
      <c r="N78" s="3">
        <v>0.83940578014070799</v>
      </c>
      <c r="O78" s="3">
        <v>0.67881156028141609</v>
      </c>
      <c r="P78" s="3">
        <v>0.69182998673601281</v>
      </c>
      <c r="Q78" s="3">
        <v>0.53111188738979309</v>
      </c>
      <c r="R78" s="3">
        <v>0.36555594369489658</v>
      </c>
      <c r="S78" s="3">
        <v>0.2</v>
      </c>
      <c r="T78" s="3">
        <v>0.2</v>
      </c>
      <c r="U78" s="3">
        <v>0.2</v>
      </c>
      <c r="V78" s="3">
        <v>0.2</v>
      </c>
      <c r="W78" s="3">
        <v>0.2</v>
      </c>
      <c r="X78" s="3">
        <v>0.2</v>
      </c>
      <c r="Y78" s="3">
        <v>0.2</v>
      </c>
    </row>
    <row r="79" spans="1:25" ht="17.25" customHeight="1" x14ac:dyDescent="0.2">
      <c r="A79" s="1" t="s">
        <v>118</v>
      </c>
      <c r="B79" s="3">
        <v>0.2</v>
      </c>
      <c r="C79" s="3">
        <v>0.2</v>
      </c>
      <c r="D79" s="4">
        <v>1</v>
      </c>
      <c r="E79" s="4">
        <v>1</v>
      </c>
      <c r="F79" s="4">
        <v>1</v>
      </c>
      <c r="G79" s="3">
        <v>0.81697908976491362</v>
      </c>
      <c r="H79" s="3">
        <v>0.63395817952982414</v>
      </c>
      <c r="I79" s="3">
        <v>0.45093726929473382</v>
      </c>
      <c r="J79" s="4">
        <v>1</v>
      </c>
      <c r="K79" s="3">
        <v>0.83052171821738863</v>
      </c>
      <c r="L79" s="3">
        <v>0.66104343643477737</v>
      </c>
      <c r="M79" s="3">
        <v>0.51305666721343612</v>
      </c>
      <c r="N79" s="3">
        <v>0.36506989799209483</v>
      </c>
      <c r="O79" s="3">
        <v>0.48231811089087212</v>
      </c>
      <c r="P79" s="3">
        <v>0.34115905544543612</v>
      </c>
      <c r="Q79" s="3">
        <v>0.2</v>
      </c>
      <c r="R79" s="3">
        <v>0.72052700680398973</v>
      </c>
      <c r="S79" s="3">
        <v>0.55228072366433589</v>
      </c>
      <c r="T79" s="3">
        <v>0.37614036183216798</v>
      </c>
      <c r="U79" s="3">
        <v>0.2</v>
      </c>
      <c r="V79" s="3">
        <v>0.2</v>
      </c>
      <c r="W79" s="3">
        <v>0.2</v>
      </c>
      <c r="X79" s="3">
        <v>0.2</v>
      </c>
      <c r="Y79" s="3">
        <v>0.2</v>
      </c>
    </row>
    <row r="80" spans="1:25" ht="17.25" customHeight="1" x14ac:dyDescent="0.2">
      <c r="A80" s="1" t="s">
        <v>119</v>
      </c>
      <c r="B80" s="3">
        <v>0.2</v>
      </c>
      <c r="C80" s="4">
        <v>1</v>
      </c>
      <c r="D80" s="4">
        <v>1</v>
      </c>
      <c r="E80" s="4">
        <v>1</v>
      </c>
      <c r="F80" s="4">
        <v>1</v>
      </c>
      <c r="G80" s="3">
        <v>0.86953299876618417</v>
      </c>
      <c r="H80" s="4">
        <v>1</v>
      </c>
      <c r="I80" s="3">
        <v>0.85169982348135487</v>
      </c>
      <c r="J80" s="3">
        <v>0.70339964696269419</v>
      </c>
      <c r="K80" s="4">
        <v>1</v>
      </c>
      <c r="L80" s="3">
        <v>0.83813612794015346</v>
      </c>
      <c r="M80" s="3">
        <v>0.67627225588030426</v>
      </c>
      <c r="N80" s="3">
        <v>0.67627225588030426</v>
      </c>
      <c r="O80" s="3">
        <v>0.51448392468492021</v>
      </c>
      <c r="P80" s="3">
        <v>0.39041516200762061</v>
      </c>
      <c r="Q80" s="3">
        <v>0.26634639933032089</v>
      </c>
      <c r="R80" s="3">
        <v>0.55206289863952429</v>
      </c>
      <c r="S80" s="3">
        <v>0.37603144931976212</v>
      </c>
      <c r="T80" s="3">
        <v>0.2</v>
      </c>
      <c r="U80" s="3">
        <v>0.2</v>
      </c>
      <c r="V80" s="3">
        <v>0.2</v>
      </c>
      <c r="W80" s="3">
        <v>0.2</v>
      </c>
      <c r="X80" s="3">
        <v>0.2</v>
      </c>
      <c r="Y80" s="3">
        <v>0.2</v>
      </c>
    </row>
    <row r="81" spans="1:25" ht="17.25" customHeight="1" x14ac:dyDescent="0.2">
      <c r="A81" s="1" t="s">
        <v>120</v>
      </c>
      <c r="B81" s="3">
        <v>0.2</v>
      </c>
      <c r="C81" s="3">
        <v>0.2</v>
      </c>
      <c r="D81" s="3">
        <v>0.2</v>
      </c>
      <c r="E81" s="4">
        <v>1</v>
      </c>
      <c r="F81" s="4">
        <v>1</v>
      </c>
      <c r="G81" s="4">
        <v>1</v>
      </c>
      <c r="H81" s="3">
        <v>0.84032137083960068</v>
      </c>
      <c r="I81" s="3">
        <v>0.68064274167921157</v>
      </c>
      <c r="J81" s="3">
        <v>0.51733360316503396</v>
      </c>
      <c r="K81" s="3">
        <v>0.35402446465085419</v>
      </c>
      <c r="L81" s="4">
        <v>1</v>
      </c>
      <c r="M81" s="3">
        <v>0.78766047725078936</v>
      </c>
      <c r="N81" s="3">
        <v>0.59943502870418952</v>
      </c>
      <c r="O81" s="3">
        <v>0.41120958015758963</v>
      </c>
      <c r="P81" s="3">
        <v>0.5087822829263956</v>
      </c>
      <c r="Q81" s="3">
        <v>0.35439114146319778</v>
      </c>
      <c r="R81" s="3">
        <v>0.2</v>
      </c>
      <c r="S81" s="3">
        <v>0.2</v>
      </c>
      <c r="T81" s="3">
        <v>0.2</v>
      </c>
      <c r="U81" s="3">
        <v>0.2</v>
      </c>
      <c r="V81" s="3">
        <v>0.2</v>
      </c>
      <c r="W81" s="3">
        <v>0.2</v>
      </c>
      <c r="X81" s="3">
        <v>0.2</v>
      </c>
      <c r="Y81" s="3">
        <v>0.2</v>
      </c>
    </row>
    <row r="82" spans="1:25" ht="17.25" customHeight="1" x14ac:dyDescent="0.2">
      <c r="A82" s="1" t="s">
        <v>121</v>
      </c>
      <c r="B82" s="3">
        <v>0.2</v>
      </c>
      <c r="C82" s="3">
        <v>0.2</v>
      </c>
      <c r="D82" s="4">
        <v>1</v>
      </c>
      <c r="E82" s="4">
        <v>1</v>
      </c>
      <c r="F82" s="4">
        <v>1</v>
      </c>
      <c r="G82" s="4">
        <v>1</v>
      </c>
      <c r="H82" s="3">
        <v>0.84746110066322711</v>
      </c>
      <c r="I82" s="3">
        <v>0.69492220132643956</v>
      </c>
      <c r="J82" s="3">
        <v>0.5298133657276094</v>
      </c>
      <c r="K82" s="4">
        <v>1</v>
      </c>
      <c r="L82" s="3">
        <v>0.84901229686874236</v>
      </c>
      <c r="M82" s="3">
        <v>0.69802459373748149</v>
      </c>
      <c r="N82" s="3">
        <v>0.91818736861392392</v>
      </c>
      <c r="O82" s="3">
        <v>0.91818736861392392</v>
      </c>
      <c r="P82" s="3">
        <v>0.75700149565213148</v>
      </c>
      <c r="Q82" s="3">
        <v>0.59581562269033905</v>
      </c>
      <c r="R82" s="3">
        <v>0.3979078113451695</v>
      </c>
      <c r="S82" s="3">
        <v>0.2</v>
      </c>
      <c r="T82" s="3">
        <v>0.37612853977886179</v>
      </c>
      <c r="U82" s="3">
        <v>0.2</v>
      </c>
      <c r="V82" s="3">
        <v>0.2</v>
      </c>
      <c r="W82" s="3">
        <v>0.2</v>
      </c>
      <c r="X82" s="3">
        <v>0.2</v>
      </c>
      <c r="Y82" s="3">
        <v>0.2</v>
      </c>
    </row>
    <row r="83" spans="1:25" ht="17.25" customHeight="1" x14ac:dyDescent="0.2">
      <c r="A83" s="1" t="s">
        <v>122</v>
      </c>
      <c r="B83" s="3">
        <v>0.2</v>
      </c>
      <c r="C83" s="3">
        <v>0.2</v>
      </c>
      <c r="D83" s="3">
        <v>0.2</v>
      </c>
      <c r="E83" s="4">
        <v>1</v>
      </c>
      <c r="F83" s="4">
        <v>1</v>
      </c>
      <c r="G83" s="4">
        <v>1</v>
      </c>
      <c r="H83" s="3">
        <v>0.80757610131737323</v>
      </c>
      <c r="I83" s="4">
        <v>1</v>
      </c>
      <c r="J83" s="3">
        <v>0.83282873219869791</v>
      </c>
      <c r="K83" s="3">
        <v>0.66565746439740003</v>
      </c>
      <c r="L83" s="3">
        <v>0.49045806845339618</v>
      </c>
      <c r="M83" s="3">
        <v>0.31525867250939249</v>
      </c>
      <c r="N83" s="3">
        <v>0.31525867250939238</v>
      </c>
      <c r="O83" s="3">
        <v>0.31525867250939238</v>
      </c>
      <c r="P83" s="3">
        <v>0.44537373932230201</v>
      </c>
      <c r="Q83" s="3">
        <v>0.32268686966115101</v>
      </c>
      <c r="R83" s="3">
        <v>0.2</v>
      </c>
      <c r="S83" s="3">
        <v>0.2</v>
      </c>
      <c r="T83" s="3">
        <v>0.2</v>
      </c>
      <c r="U83" s="3">
        <v>0.41752639842776351</v>
      </c>
      <c r="V83" s="3">
        <v>0.2</v>
      </c>
      <c r="W83" s="3">
        <v>0.2</v>
      </c>
      <c r="X83" s="3">
        <v>0.2</v>
      </c>
      <c r="Y83" s="3">
        <v>0.2</v>
      </c>
    </row>
    <row r="84" spans="1:25" ht="17.25" customHeight="1" x14ac:dyDescent="0.2">
      <c r="A84" s="1" t="s">
        <v>123</v>
      </c>
      <c r="B84" s="3">
        <v>0.2</v>
      </c>
      <c r="C84" s="4">
        <v>1</v>
      </c>
      <c r="D84" s="4">
        <v>1</v>
      </c>
      <c r="E84" s="4">
        <v>1</v>
      </c>
      <c r="F84" s="4">
        <v>1</v>
      </c>
      <c r="G84" s="3">
        <v>0.86326859410618761</v>
      </c>
      <c r="H84" s="3">
        <v>0.6991583353984121</v>
      </c>
      <c r="I84" s="3">
        <v>0.57486225462611018</v>
      </c>
      <c r="J84" s="4">
        <v>1</v>
      </c>
      <c r="K84" s="3">
        <v>0.83648382663775589</v>
      </c>
      <c r="L84" s="3">
        <v>0.672967653275514</v>
      </c>
      <c r="M84" s="3">
        <v>0.51151138469271018</v>
      </c>
      <c r="N84" s="3">
        <v>0.3500551161099047</v>
      </c>
      <c r="O84" s="3">
        <v>0.3500551161099047</v>
      </c>
      <c r="P84" s="3">
        <v>0.44320418927615718</v>
      </c>
      <c r="Q84" s="3">
        <v>0.32160209463807859</v>
      </c>
      <c r="R84" s="3">
        <v>0.2</v>
      </c>
      <c r="S84" s="3">
        <v>0.2</v>
      </c>
      <c r="T84" s="3">
        <v>0.2</v>
      </c>
      <c r="U84" s="3">
        <v>0.2</v>
      </c>
      <c r="V84" s="3">
        <v>0.2</v>
      </c>
      <c r="W84" s="3">
        <v>0.2</v>
      </c>
      <c r="X84" s="3">
        <v>0.2</v>
      </c>
      <c r="Y84" s="3">
        <v>0.2</v>
      </c>
    </row>
    <row r="85" spans="1:25" ht="17.25" customHeight="1" x14ac:dyDescent="0.2">
      <c r="A85" s="1" t="s">
        <v>124</v>
      </c>
      <c r="B85" s="3">
        <v>0.2</v>
      </c>
      <c r="C85" s="3">
        <v>0.2</v>
      </c>
      <c r="D85" s="4">
        <v>1</v>
      </c>
      <c r="E85" s="4">
        <v>1</v>
      </c>
      <c r="F85" s="4">
        <v>1</v>
      </c>
      <c r="G85" s="4">
        <v>1</v>
      </c>
      <c r="H85" s="3">
        <v>0.86039636842656442</v>
      </c>
      <c r="I85" s="3">
        <v>0.72079273685313294</v>
      </c>
      <c r="J85" s="3">
        <v>0.53020014797606396</v>
      </c>
      <c r="K85" s="3">
        <v>0.33960755909898899</v>
      </c>
      <c r="L85" s="4">
        <v>1</v>
      </c>
      <c r="M85" s="3">
        <v>0.86085024973954916</v>
      </c>
      <c r="N85" s="3">
        <v>0.93417813344948875</v>
      </c>
      <c r="O85" s="3">
        <v>0.78392544253087049</v>
      </c>
      <c r="P85" s="3">
        <v>0.63367275161225201</v>
      </c>
      <c r="Q85" s="3">
        <v>0.48940169418779589</v>
      </c>
      <c r="R85" s="3">
        <v>0.34513063676333983</v>
      </c>
      <c r="S85" s="3">
        <v>0.2</v>
      </c>
      <c r="T85" s="3">
        <v>0.2</v>
      </c>
      <c r="U85" s="3">
        <v>0.2</v>
      </c>
      <c r="V85" s="3">
        <v>0.2</v>
      </c>
      <c r="W85" s="3">
        <v>0.2</v>
      </c>
      <c r="X85" s="3">
        <v>0.2</v>
      </c>
      <c r="Y85" s="3">
        <v>0.2</v>
      </c>
    </row>
    <row r="86" spans="1:25" ht="17.25" customHeight="1" x14ac:dyDescent="0.2">
      <c r="A86" s="1" t="s">
        <v>125</v>
      </c>
      <c r="B86" s="3">
        <v>0.2</v>
      </c>
      <c r="C86" s="3">
        <v>0.2</v>
      </c>
      <c r="D86" s="4">
        <v>1</v>
      </c>
      <c r="E86" s="4">
        <v>1</v>
      </c>
      <c r="F86" s="4">
        <v>1</v>
      </c>
      <c r="G86" s="3">
        <v>0.82467935930420444</v>
      </c>
      <c r="H86" s="4">
        <v>1</v>
      </c>
      <c r="I86" s="4">
        <v>1</v>
      </c>
      <c r="J86" s="3">
        <v>0.83476981677965389</v>
      </c>
      <c r="K86" s="3">
        <v>0.66953963355930768</v>
      </c>
      <c r="L86" s="3">
        <v>0.49425803031196092</v>
      </c>
      <c r="M86" s="3">
        <v>0.31897642706461421</v>
      </c>
      <c r="N86" s="3">
        <v>0.93629875859445577</v>
      </c>
      <c r="O86" s="3">
        <v>0.72822712826000024</v>
      </c>
      <c r="P86" s="3">
        <v>0.61035442013639796</v>
      </c>
      <c r="Q86" s="3">
        <v>0.49248171201279561</v>
      </c>
      <c r="R86" s="3">
        <v>0.34624085600639781</v>
      </c>
      <c r="S86" s="3">
        <v>0.2</v>
      </c>
      <c r="T86" s="3">
        <v>0.2</v>
      </c>
      <c r="U86" s="3">
        <v>0.2</v>
      </c>
      <c r="V86" s="3">
        <v>0.2</v>
      </c>
      <c r="W86" s="3">
        <v>0.2</v>
      </c>
      <c r="X86" s="3">
        <v>0.2</v>
      </c>
      <c r="Y86" s="3">
        <v>0.2</v>
      </c>
    </row>
    <row r="87" spans="1:25" ht="17.25" customHeight="1" x14ac:dyDescent="0.2">
      <c r="A87" s="1" t="s">
        <v>126</v>
      </c>
      <c r="B87" s="3">
        <v>0.2</v>
      </c>
      <c r="C87" s="4">
        <v>1</v>
      </c>
      <c r="D87" s="4">
        <v>1</v>
      </c>
      <c r="E87" s="4">
        <v>1</v>
      </c>
      <c r="F87" s="4">
        <v>1</v>
      </c>
      <c r="G87" s="3">
        <v>0.80161069149032782</v>
      </c>
      <c r="H87" s="4">
        <v>1</v>
      </c>
      <c r="I87" s="3">
        <v>0.83994585198306471</v>
      </c>
      <c r="J87" s="4">
        <v>1</v>
      </c>
      <c r="K87" s="3">
        <v>0.86007132820768262</v>
      </c>
      <c r="L87" s="3">
        <v>0.72014265641537822</v>
      </c>
      <c r="M87" s="3">
        <v>0.50708410258208914</v>
      </c>
      <c r="N87" s="3">
        <v>0.29402554874879999</v>
      </c>
      <c r="O87" s="3">
        <v>0.48585210236807602</v>
      </c>
      <c r="P87" s="3">
        <v>0.34292605118403802</v>
      </c>
      <c r="Q87" s="3">
        <v>0.2</v>
      </c>
      <c r="R87" s="3">
        <v>0.86534376720929296</v>
      </c>
      <c r="S87" s="3">
        <v>0.72084674330788567</v>
      </c>
      <c r="T87" s="3">
        <v>0.55397293272627668</v>
      </c>
      <c r="U87" s="3">
        <v>0.3769864663631356</v>
      </c>
      <c r="V87" s="3">
        <v>0.2</v>
      </c>
      <c r="W87" s="3">
        <v>0.2</v>
      </c>
      <c r="X87" s="3">
        <v>0.2</v>
      </c>
      <c r="Y87" s="3">
        <v>0.2</v>
      </c>
    </row>
    <row r="88" spans="1:25" ht="17.25" customHeight="1" x14ac:dyDescent="0.2">
      <c r="A88" s="1" t="s">
        <v>127</v>
      </c>
      <c r="B88" s="3">
        <v>0.2</v>
      </c>
      <c r="C88" s="3">
        <v>0.2</v>
      </c>
      <c r="D88" s="3">
        <v>0.2</v>
      </c>
      <c r="E88" s="4">
        <v>1</v>
      </c>
      <c r="F88" s="4">
        <v>1</v>
      </c>
      <c r="G88" s="4">
        <v>1</v>
      </c>
      <c r="H88" s="3">
        <v>0.85484262488136042</v>
      </c>
      <c r="I88" s="3">
        <v>0.63472930227253122</v>
      </c>
      <c r="J88" s="3">
        <v>0.41461597966370051</v>
      </c>
      <c r="K88" s="4">
        <v>1</v>
      </c>
      <c r="L88" s="3">
        <v>0.81635882604924759</v>
      </c>
      <c r="M88" s="3">
        <v>0.63271765209849207</v>
      </c>
      <c r="N88" s="3">
        <v>0.81404490935454921</v>
      </c>
      <c r="O88" s="3">
        <v>0.63675501131666046</v>
      </c>
      <c r="P88" s="3">
        <v>0.45946511327877182</v>
      </c>
      <c r="Q88" s="3">
        <v>0.32973255663938589</v>
      </c>
      <c r="R88" s="3">
        <v>0.2</v>
      </c>
      <c r="S88" s="3">
        <v>0.2</v>
      </c>
      <c r="T88" s="3">
        <v>0.2</v>
      </c>
      <c r="U88" s="3">
        <v>0.35209056207514139</v>
      </c>
      <c r="V88" s="3">
        <v>0.2</v>
      </c>
      <c r="W88" s="3">
        <v>0.2</v>
      </c>
      <c r="X88" s="3">
        <v>0.2</v>
      </c>
      <c r="Y88" s="3">
        <v>0.2</v>
      </c>
    </row>
    <row r="89" spans="1:25" ht="17.25" customHeight="1" x14ac:dyDescent="0.2">
      <c r="A89" s="1" t="s">
        <v>128</v>
      </c>
      <c r="B89" s="3">
        <v>0.2</v>
      </c>
      <c r="C89" s="3">
        <v>0.2</v>
      </c>
      <c r="D89" s="4">
        <v>1</v>
      </c>
      <c r="E89" s="4">
        <v>1</v>
      </c>
      <c r="F89" s="4">
        <v>1</v>
      </c>
      <c r="G89" s="4">
        <v>1</v>
      </c>
      <c r="H89" s="3">
        <v>0.86777104682646555</v>
      </c>
      <c r="I89" s="3">
        <v>0.73554209365293799</v>
      </c>
      <c r="J89" s="3">
        <v>0.52993831099791733</v>
      </c>
      <c r="K89" s="3">
        <v>0.32433452834290061</v>
      </c>
      <c r="L89" s="4">
        <v>1</v>
      </c>
      <c r="M89" s="3">
        <v>0.85151624420752359</v>
      </c>
      <c r="N89" s="3">
        <v>0.70303248841504529</v>
      </c>
      <c r="O89" s="3">
        <v>0.57036675521567892</v>
      </c>
      <c r="P89" s="3">
        <v>0.44281579187001902</v>
      </c>
      <c r="Q89" s="3">
        <v>0.32214879437299349</v>
      </c>
      <c r="R89" s="3">
        <v>0.20148179687596801</v>
      </c>
      <c r="S89" s="3">
        <v>0.58605409014761078</v>
      </c>
      <c r="T89" s="3">
        <v>0.39302704507381081</v>
      </c>
      <c r="U89" s="3">
        <v>0.2</v>
      </c>
      <c r="V89" s="3">
        <v>0.2</v>
      </c>
      <c r="W89" s="3">
        <v>0.2</v>
      </c>
      <c r="X89" s="3">
        <v>0.2</v>
      </c>
      <c r="Y89" s="3">
        <v>0.2</v>
      </c>
    </row>
    <row r="90" spans="1:25" ht="17.25" customHeight="1" x14ac:dyDescent="0.2">
      <c r="A90" s="1" t="s">
        <v>129</v>
      </c>
      <c r="B90" s="3">
        <v>0.2</v>
      </c>
      <c r="C90" s="3">
        <v>0.2</v>
      </c>
      <c r="D90" s="4">
        <v>1</v>
      </c>
      <c r="E90" s="4">
        <v>1</v>
      </c>
      <c r="F90" s="4">
        <v>1</v>
      </c>
      <c r="G90" s="4">
        <v>1</v>
      </c>
      <c r="H90" s="3">
        <v>0.82353478163373317</v>
      </c>
      <c r="I90" s="3">
        <v>0.64706956326745346</v>
      </c>
      <c r="J90" s="3">
        <v>0.47873425332393887</v>
      </c>
      <c r="K90" s="4">
        <v>1</v>
      </c>
      <c r="L90" s="3">
        <v>0.82093682942109059</v>
      </c>
      <c r="M90" s="3">
        <v>0.64187365884218173</v>
      </c>
      <c r="N90" s="3">
        <v>0.46042582955460071</v>
      </c>
      <c r="O90" s="3">
        <v>0.80143200341881249</v>
      </c>
      <c r="P90" s="3">
        <v>0.681472218655367</v>
      </c>
      <c r="Q90" s="3">
        <v>0.5615124338919214</v>
      </c>
      <c r="R90" s="3">
        <v>0.38075621694596068</v>
      </c>
      <c r="S90" s="3">
        <v>0.2</v>
      </c>
      <c r="T90" s="3">
        <v>0.2</v>
      </c>
      <c r="U90" s="3">
        <v>0.38632853454088578</v>
      </c>
      <c r="V90" s="3">
        <v>0.38632853454088578</v>
      </c>
      <c r="W90" s="3">
        <v>0.2</v>
      </c>
      <c r="X90" s="3">
        <v>0.2</v>
      </c>
      <c r="Y90" s="3">
        <v>0.2</v>
      </c>
    </row>
    <row r="91" spans="1:25" ht="17.25" customHeight="1" x14ac:dyDescent="0.2">
      <c r="A91" s="1" t="s">
        <v>130</v>
      </c>
      <c r="B91" s="3">
        <v>0.2</v>
      </c>
      <c r="C91" s="3">
        <v>0.2</v>
      </c>
      <c r="D91" s="3">
        <v>0.2</v>
      </c>
      <c r="E91" s="4">
        <v>1</v>
      </c>
      <c r="F91" s="4">
        <v>1</v>
      </c>
      <c r="G91" s="3">
        <v>0.84463126952972689</v>
      </c>
      <c r="H91" s="3">
        <v>0.68926253905958423</v>
      </c>
      <c r="I91" s="3">
        <v>0.50129662163111754</v>
      </c>
      <c r="J91" s="3">
        <v>0.31333070420265102</v>
      </c>
      <c r="K91" s="4">
        <v>1</v>
      </c>
      <c r="L91" s="3">
        <v>0.84344737706506023</v>
      </c>
      <c r="M91" s="3">
        <v>0.68689475413010981</v>
      </c>
      <c r="N91" s="3">
        <v>0.68689475413010981</v>
      </c>
      <c r="O91" s="3">
        <v>0.48865476041086081</v>
      </c>
      <c r="P91" s="3">
        <v>0.51957893728611348</v>
      </c>
      <c r="Q91" s="3">
        <v>0.35978946864305672</v>
      </c>
      <c r="R91" s="3">
        <v>0.2</v>
      </c>
      <c r="S91" s="3">
        <v>0.2</v>
      </c>
      <c r="T91" s="3">
        <v>0.2</v>
      </c>
      <c r="U91" s="3">
        <v>0.2</v>
      </c>
      <c r="V91" s="3">
        <v>0.2</v>
      </c>
      <c r="W91" s="3">
        <v>0.2</v>
      </c>
      <c r="X91" s="3">
        <v>0.2</v>
      </c>
      <c r="Y91" s="3">
        <v>0.2</v>
      </c>
    </row>
    <row r="92" spans="1:25" ht="17.25" customHeight="1" x14ac:dyDescent="0.2">
      <c r="A92" s="1" t="s">
        <v>131</v>
      </c>
      <c r="B92" s="3">
        <v>0.2</v>
      </c>
      <c r="C92" s="4">
        <v>1</v>
      </c>
      <c r="D92" s="4">
        <v>1</v>
      </c>
      <c r="E92" s="4">
        <v>1</v>
      </c>
      <c r="F92" s="4">
        <v>1</v>
      </c>
      <c r="G92" s="3">
        <v>0.85321054026204812</v>
      </c>
      <c r="H92" s="3">
        <v>0.70642108052409625</v>
      </c>
      <c r="I92" s="4">
        <v>1</v>
      </c>
      <c r="J92" s="3">
        <v>0.86277551398052343</v>
      </c>
      <c r="K92" s="3">
        <v>0.66403801306816557</v>
      </c>
      <c r="L92" s="3">
        <v>0.46530051215579171</v>
      </c>
      <c r="M92" s="3">
        <v>0.82212370284563785</v>
      </c>
      <c r="N92" s="3">
        <v>0.68270932375972582</v>
      </c>
      <c r="O92" s="3">
        <v>0.54329494467381378</v>
      </c>
      <c r="P92" s="3">
        <v>0.37164747233690693</v>
      </c>
      <c r="Q92" s="3">
        <v>0.2</v>
      </c>
      <c r="R92" s="3">
        <v>0.56877634613678962</v>
      </c>
      <c r="S92" s="3">
        <v>0.43010053434185552</v>
      </c>
      <c r="T92" s="3">
        <v>0.2</v>
      </c>
      <c r="U92" s="3">
        <v>0.2</v>
      </c>
      <c r="V92" s="3">
        <v>0.2</v>
      </c>
      <c r="W92" s="3">
        <v>0.2</v>
      </c>
      <c r="X92" s="3">
        <v>0.2</v>
      </c>
      <c r="Y92" s="3">
        <v>0.2</v>
      </c>
    </row>
    <row r="93" spans="1:25" ht="17.25" customHeight="1" x14ac:dyDescent="0.2">
      <c r="A93" s="1" t="s">
        <v>132</v>
      </c>
      <c r="B93" s="3">
        <v>0.2</v>
      </c>
      <c r="C93" s="4">
        <v>1</v>
      </c>
      <c r="D93" s="4">
        <v>1</v>
      </c>
      <c r="E93" s="4">
        <v>1</v>
      </c>
      <c r="F93" s="4">
        <v>1</v>
      </c>
      <c r="G93" s="4">
        <v>1</v>
      </c>
      <c r="H93" s="3">
        <v>0.81907793534682682</v>
      </c>
      <c r="I93" s="3">
        <v>0.63815587069364788</v>
      </c>
      <c r="J93" s="3">
        <v>0.45723380604047842</v>
      </c>
      <c r="K93" s="4">
        <v>1</v>
      </c>
      <c r="L93" s="3">
        <v>0.85866271233753966</v>
      </c>
      <c r="M93" s="3">
        <v>0.71732542467507932</v>
      </c>
      <c r="N93" s="3">
        <v>0.98878439264242923</v>
      </c>
      <c r="O93" s="3">
        <v>0.83179303207362554</v>
      </c>
      <c r="P93" s="3">
        <v>0.67480167150482184</v>
      </c>
      <c r="Q93" s="3">
        <v>0.51653444766988121</v>
      </c>
      <c r="R93" s="3">
        <v>0.35826722383494058</v>
      </c>
      <c r="S93" s="3">
        <v>0.2</v>
      </c>
      <c r="T93" s="3">
        <v>0.2</v>
      </c>
      <c r="U93" s="3">
        <v>0.2</v>
      </c>
      <c r="V93" s="3">
        <v>0.2</v>
      </c>
      <c r="W93" s="3">
        <v>0.2</v>
      </c>
      <c r="X93" s="3">
        <v>0.2</v>
      </c>
      <c r="Y93" s="3">
        <v>0.2</v>
      </c>
    </row>
    <row r="94" spans="1:25" ht="17.25" customHeight="1" x14ac:dyDescent="0.2">
      <c r="A94" s="1" t="s">
        <v>133</v>
      </c>
      <c r="B94" s="3">
        <v>0.2</v>
      </c>
      <c r="C94" s="4">
        <v>1</v>
      </c>
      <c r="D94" s="4">
        <v>1</v>
      </c>
      <c r="E94" s="4">
        <v>1</v>
      </c>
      <c r="F94" s="4">
        <v>1</v>
      </c>
      <c r="G94" s="3">
        <v>0.83043640394908413</v>
      </c>
      <c r="H94" s="3">
        <v>0.66087280789816416</v>
      </c>
      <c r="I94" s="3">
        <v>0.48861324129637768</v>
      </c>
      <c r="J94" s="3">
        <v>0.31635367469459108</v>
      </c>
      <c r="K94" s="4">
        <v>1</v>
      </c>
      <c r="L94" s="3">
        <v>0.86132959991487246</v>
      </c>
      <c r="M94" s="3">
        <v>0.72265919982974491</v>
      </c>
      <c r="N94" s="3">
        <v>0.72265919982974491</v>
      </c>
      <c r="O94" s="3">
        <v>0.89270246734818481</v>
      </c>
      <c r="P94" s="3">
        <v>0.73874853662381823</v>
      </c>
      <c r="Q94" s="3">
        <v>0.58479460589945176</v>
      </c>
      <c r="R94" s="3">
        <v>0.39239730294972591</v>
      </c>
      <c r="S94" s="3">
        <v>0.2</v>
      </c>
      <c r="T94" s="3">
        <v>0.2</v>
      </c>
      <c r="U94" s="3">
        <v>0.42897037572851632</v>
      </c>
      <c r="V94" s="3">
        <v>0.2</v>
      </c>
      <c r="W94" s="3">
        <v>0.2</v>
      </c>
      <c r="X94" s="3">
        <v>0.2</v>
      </c>
      <c r="Y94" s="3">
        <v>0.2</v>
      </c>
    </row>
    <row r="95" spans="1:25" ht="17.25" customHeight="1" x14ac:dyDescent="0.2">
      <c r="A95" s="1" t="s">
        <v>134</v>
      </c>
      <c r="B95" s="3">
        <v>0.2</v>
      </c>
      <c r="C95" s="3">
        <v>0.2</v>
      </c>
      <c r="D95" s="4">
        <v>1</v>
      </c>
      <c r="E95" s="4">
        <v>1</v>
      </c>
      <c r="F95" s="4">
        <v>1</v>
      </c>
      <c r="G95" s="3">
        <v>0.83716998898999517</v>
      </c>
      <c r="H95" s="3">
        <v>0.67433997797999023</v>
      </c>
      <c r="I95" s="4">
        <v>1</v>
      </c>
      <c r="J95" s="3">
        <v>0.81899208266503365</v>
      </c>
      <c r="K95" s="3">
        <v>0.63798416533006752</v>
      </c>
      <c r="L95" s="3">
        <v>0.4762156998038175</v>
      </c>
      <c r="M95" s="3">
        <v>0.4762156998038175</v>
      </c>
      <c r="N95" s="3">
        <v>0.95778915121556296</v>
      </c>
      <c r="O95" s="3">
        <v>0.74576835868515889</v>
      </c>
      <c r="P95" s="3">
        <v>0.53374756615475483</v>
      </c>
      <c r="Q95" s="3">
        <v>0.33729594590474132</v>
      </c>
      <c r="R95" s="3">
        <v>0.2</v>
      </c>
      <c r="S95" s="3">
        <v>0.2</v>
      </c>
      <c r="T95" s="3">
        <v>0.2</v>
      </c>
      <c r="U95" s="3">
        <v>0.2</v>
      </c>
      <c r="V95" s="3">
        <v>0.58828146678642024</v>
      </c>
      <c r="W95" s="3">
        <v>0.39414073339321543</v>
      </c>
      <c r="X95" s="3">
        <v>0.2</v>
      </c>
      <c r="Y95" s="3">
        <v>0.2</v>
      </c>
    </row>
    <row r="96" spans="1:25" ht="17.25" customHeight="1" x14ac:dyDescent="0.2">
      <c r="A96" s="1" t="s">
        <v>135</v>
      </c>
      <c r="B96" s="3">
        <v>0.2</v>
      </c>
      <c r="C96" s="4">
        <v>1</v>
      </c>
      <c r="D96" s="4">
        <v>1</v>
      </c>
      <c r="E96" s="4">
        <v>1</v>
      </c>
      <c r="F96" s="4">
        <v>1</v>
      </c>
      <c r="G96" s="3">
        <v>0.82552617331474409</v>
      </c>
      <c r="H96" s="3">
        <v>0.65105234662948797</v>
      </c>
      <c r="I96" s="3">
        <v>0.50661238629653282</v>
      </c>
      <c r="J96" s="3">
        <v>0.36217242596357768</v>
      </c>
      <c r="K96" s="4">
        <v>1</v>
      </c>
      <c r="L96" s="3">
        <v>0.80162323473656016</v>
      </c>
      <c r="M96" s="3">
        <v>0.6746579207152098</v>
      </c>
      <c r="N96" s="3">
        <v>0.54769260669385944</v>
      </c>
      <c r="O96" s="3">
        <v>0.79723976363104354</v>
      </c>
      <c r="P96" s="3">
        <v>0.66501707675458321</v>
      </c>
      <c r="Q96" s="3">
        <v>0.53279438987812289</v>
      </c>
      <c r="R96" s="3">
        <v>0.36639719493906142</v>
      </c>
      <c r="S96" s="3">
        <v>0.2</v>
      </c>
      <c r="T96" s="3">
        <v>0.2</v>
      </c>
      <c r="U96" s="3">
        <v>0.2</v>
      </c>
      <c r="V96" s="3">
        <v>0.2</v>
      </c>
      <c r="W96" s="3">
        <v>0.2</v>
      </c>
      <c r="X96" s="3">
        <v>0.2</v>
      </c>
      <c r="Y96" s="3">
        <v>0.2</v>
      </c>
    </row>
    <row r="97" spans="1:25" ht="17.25" customHeight="1" x14ac:dyDescent="0.2">
      <c r="A97" s="1" t="s">
        <v>136</v>
      </c>
      <c r="B97" s="3">
        <v>0.2</v>
      </c>
      <c r="C97" s="3">
        <v>0.2</v>
      </c>
      <c r="D97" s="3">
        <v>0.2</v>
      </c>
      <c r="E97" s="4">
        <v>1</v>
      </c>
      <c r="F97" s="4">
        <v>1</v>
      </c>
      <c r="G97" s="4">
        <v>1</v>
      </c>
      <c r="H97" s="3">
        <v>0.83529563212202473</v>
      </c>
      <c r="I97" s="3">
        <v>0.67059126424404536</v>
      </c>
      <c r="J97" s="3">
        <v>0.49524737281023817</v>
      </c>
      <c r="K97" s="3">
        <v>0.3199034813764311</v>
      </c>
      <c r="L97" s="4">
        <v>1</v>
      </c>
      <c r="M97" s="3">
        <v>0.81388961028682527</v>
      </c>
      <c r="N97" s="3">
        <v>0.62777922057363567</v>
      </c>
      <c r="O97" s="3">
        <v>0.68345148356045193</v>
      </c>
      <c r="P97" s="3">
        <v>0.57453368056467913</v>
      </c>
      <c r="Q97" s="3">
        <v>0.46561587756890632</v>
      </c>
      <c r="R97" s="3">
        <v>0.33280793878445308</v>
      </c>
      <c r="S97" s="3">
        <v>0.2</v>
      </c>
      <c r="T97" s="3">
        <v>0.5128072333369601</v>
      </c>
      <c r="U97" s="3">
        <v>0.35640361666848008</v>
      </c>
      <c r="V97" s="3">
        <v>0.2</v>
      </c>
      <c r="W97" s="3">
        <v>0.34456093737835258</v>
      </c>
      <c r="X97" s="3">
        <v>0.2</v>
      </c>
      <c r="Y97" s="3">
        <v>0.2</v>
      </c>
    </row>
    <row r="98" spans="1:25" ht="17.25" customHeight="1" x14ac:dyDescent="0.2">
      <c r="A98" s="1" t="s">
        <v>137</v>
      </c>
      <c r="B98" s="3">
        <v>0.2</v>
      </c>
      <c r="C98" s="3">
        <v>0.2</v>
      </c>
      <c r="D98" s="3">
        <v>0.2</v>
      </c>
      <c r="E98" s="4">
        <v>1</v>
      </c>
      <c r="F98" s="4">
        <v>1</v>
      </c>
      <c r="G98" s="4">
        <v>1</v>
      </c>
      <c r="H98" s="3">
        <v>0.84826220042559242</v>
      </c>
      <c r="I98" s="3">
        <v>0.6965244008511553</v>
      </c>
      <c r="J98" s="3">
        <v>0.51822958159100085</v>
      </c>
      <c r="K98" s="3">
        <v>0.33993476233082892</v>
      </c>
      <c r="L98" s="3">
        <v>0.99584985445854879</v>
      </c>
      <c r="M98" s="3">
        <v>0.99584985445854879</v>
      </c>
      <c r="N98" s="3">
        <v>0.81980383625605568</v>
      </c>
      <c r="O98" s="3">
        <v>0.64375781805356269</v>
      </c>
      <c r="P98" s="3">
        <v>0.51161835270904976</v>
      </c>
      <c r="Q98" s="3">
        <v>0.37947888736453672</v>
      </c>
      <c r="R98" s="3">
        <v>0.2</v>
      </c>
      <c r="S98" s="3">
        <v>0.2</v>
      </c>
      <c r="T98" s="3">
        <v>0.2</v>
      </c>
      <c r="U98" s="3">
        <v>0.2</v>
      </c>
      <c r="V98" s="3">
        <v>0.2</v>
      </c>
      <c r="W98" s="3">
        <v>0.2</v>
      </c>
      <c r="X98" s="3">
        <v>0.2</v>
      </c>
      <c r="Y98" s="3">
        <v>0.2</v>
      </c>
    </row>
    <row r="99" spans="1:25" ht="17.25" customHeight="1" x14ac:dyDescent="0.2">
      <c r="A99" s="1" t="s">
        <v>138</v>
      </c>
      <c r="B99" s="3">
        <v>0.2</v>
      </c>
      <c r="C99" s="3">
        <v>0.2</v>
      </c>
      <c r="D99" s="4">
        <v>1</v>
      </c>
      <c r="E99" s="4">
        <v>1</v>
      </c>
      <c r="F99" s="4">
        <v>1</v>
      </c>
      <c r="G99" s="4">
        <v>1</v>
      </c>
      <c r="H99" s="3">
        <v>0.85382056093527847</v>
      </c>
      <c r="I99" s="3">
        <v>0.70764112187055728</v>
      </c>
      <c r="J99" s="3">
        <v>0.51920050263532735</v>
      </c>
      <c r="K99" s="3">
        <v>0.33075988340010071</v>
      </c>
      <c r="L99" s="4">
        <v>1</v>
      </c>
      <c r="M99" s="3">
        <v>0.83983443599378105</v>
      </c>
      <c r="N99" s="3">
        <v>0.86150929950112465</v>
      </c>
      <c r="O99" s="3">
        <v>0.72802600582447841</v>
      </c>
      <c r="P99" s="3">
        <v>0.59454271214783239</v>
      </c>
      <c r="Q99" s="3">
        <v>0.39727135607391623</v>
      </c>
      <c r="R99" s="3">
        <v>0.2</v>
      </c>
      <c r="S99" s="3">
        <v>0.2</v>
      </c>
      <c r="T99" s="3">
        <v>0.2</v>
      </c>
      <c r="U99" s="3">
        <v>0.2</v>
      </c>
      <c r="V99" s="3">
        <v>0.2</v>
      </c>
      <c r="W99" s="3">
        <v>0.42705386533464029</v>
      </c>
      <c r="X99" s="3">
        <v>0.2</v>
      </c>
      <c r="Y99" s="3">
        <v>0.2</v>
      </c>
    </row>
    <row r="100" spans="1:25" ht="17.25" customHeight="1" x14ac:dyDescent="0.2">
      <c r="A100" s="1" t="s">
        <v>139</v>
      </c>
      <c r="B100" s="3">
        <v>0.2</v>
      </c>
      <c r="C100" s="3">
        <v>0.2</v>
      </c>
      <c r="D100" s="4">
        <v>1</v>
      </c>
      <c r="E100" s="4">
        <v>1</v>
      </c>
      <c r="F100" s="4">
        <v>1</v>
      </c>
      <c r="G100" s="3">
        <v>0.85644926827931833</v>
      </c>
      <c r="H100" s="3">
        <v>0.71289853655864843</v>
      </c>
      <c r="I100" s="3">
        <v>0.54843907757255039</v>
      </c>
      <c r="J100" s="3">
        <v>0.38397961858645241</v>
      </c>
      <c r="K100" s="4">
        <v>1</v>
      </c>
      <c r="L100" s="3">
        <v>0.83691604969368538</v>
      </c>
      <c r="M100" s="3">
        <v>0.67383209938736544</v>
      </c>
      <c r="N100" s="3">
        <v>0.79460016473011208</v>
      </c>
      <c r="O100" s="3">
        <v>0.59620043209886786</v>
      </c>
      <c r="P100" s="3">
        <v>0.39780069946762647</v>
      </c>
      <c r="Q100" s="3">
        <v>0.2</v>
      </c>
      <c r="R100" s="3">
        <v>0.61596823979306392</v>
      </c>
      <c r="S100" s="3">
        <v>0.47256668650567768</v>
      </c>
      <c r="T100" s="3">
        <v>0.33624511223649017</v>
      </c>
      <c r="U100" s="3">
        <v>0.2</v>
      </c>
      <c r="V100" s="3">
        <v>0.5050520607851513</v>
      </c>
      <c r="W100" s="3">
        <v>0.35252603039257779</v>
      </c>
      <c r="X100" s="3">
        <v>0.2</v>
      </c>
      <c r="Y100" s="3">
        <v>0.2</v>
      </c>
    </row>
    <row r="101" spans="1:25" ht="17.25" customHeight="1" x14ac:dyDescent="0.2">
      <c r="A101" s="1" t="s">
        <v>140</v>
      </c>
      <c r="B101" s="3">
        <v>0.2</v>
      </c>
      <c r="C101" s="4">
        <v>1</v>
      </c>
      <c r="D101" s="4">
        <v>1</v>
      </c>
      <c r="E101" s="4">
        <v>1</v>
      </c>
      <c r="F101" s="4">
        <v>1</v>
      </c>
      <c r="G101" s="4">
        <v>1</v>
      </c>
      <c r="H101" s="3">
        <v>0.84054889786219633</v>
      </c>
      <c r="I101" s="3">
        <v>0.68109779572439244</v>
      </c>
      <c r="J101" s="4">
        <v>1</v>
      </c>
      <c r="K101" s="3">
        <v>0.82827346560075121</v>
      </c>
      <c r="L101" s="3">
        <v>0.65654693120150232</v>
      </c>
      <c r="M101" s="3">
        <v>0.65654693120150232</v>
      </c>
      <c r="N101" s="3">
        <v>0.80997051164307776</v>
      </c>
      <c r="O101" s="3">
        <v>0.67461568595669408</v>
      </c>
      <c r="P101" s="3">
        <v>0.5392608602703105</v>
      </c>
      <c r="Q101" s="3">
        <v>0.36963043013515517</v>
      </c>
      <c r="R101" s="3">
        <v>0.2</v>
      </c>
      <c r="S101" s="3">
        <v>0.2</v>
      </c>
      <c r="T101" s="3">
        <v>0.2</v>
      </c>
      <c r="U101" s="3">
        <v>0.2</v>
      </c>
      <c r="V101" s="3">
        <v>0.2</v>
      </c>
      <c r="W101" s="3">
        <v>0.2</v>
      </c>
      <c r="X101" s="3">
        <v>0.2</v>
      </c>
      <c r="Y101" s="3">
        <v>0.2</v>
      </c>
    </row>
    <row r="102" spans="1:25" ht="17.25" customHeight="1" x14ac:dyDescent="0.2">
      <c r="A102" s="1" t="s">
        <v>141</v>
      </c>
      <c r="B102" s="3">
        <v>0.2</v>
      </c>
      <c r="C102" s="4">
        <v>1</v>
      </c>
      <c r="D102" s="4">
        <v>1</v>
      </c>
      <c r="E102" s="4">
        <v>1</v>
      </c>
      <c r="F102" s="4">
        <v>1</v>
      </c>
      <c r="G102" s="3">
        <v>0.80833878233538581</v>
      </c>
      <c r="H102" s="3">
        <v>0.61667756467077262</v>
      </c>
      <c r="I102" s="3">
        <v>0.41107378201574779</v>
      </c>
      <c r="J102" s="3">
        <v>0.2054699993607231</v>
      </c>
      <c r="K102" s="4">
        <v>1</v>
      </c>
      <c r="L102" s="3">
        <v>0.81991560952308129</v>
      </c>
      <c r="M102" s="3">
        <v>0.63983121904616258</v>
      </c>
      <c r="N102" s="3">
        <v>0.73890009627584041</v>
      </c>
      <c r="O102" s="3">
        <v>0.5936747949625375</v>
      </c>
      <c r="P102" s="3">
        <v>0.4702653230723996</v>
      </c>
      <c r="Q102" s="3">
        <v>0.34685585118226159</v>
      </c>
      <c r="R102" s="3">
        <v>0.2</v>
      </c>
      <c r="S102" s="3">
        <v>0.2</v>
      </c>
      <c r="T102" s="3">
        <v>0.2</v>
      </c>
      <c r="U102" s="3">
        <v>0.42631369340794267</v>
      </c>
      <c r="V102" s="3">
        <v>0.42631369340794267</v>
      </c>
      <c r="W102" s="3">
        <v>0.2</v>
      </c>
      <c r="X102" s="3">
        <v>0.2</v>
      </c>
      <c r="Y102" s="3">
        <v>0.2</v>
      </c>
    </row>
    <row r="103" spans="1:25" ht="17.25" customHeight="1" x14ac:dyDescent="0.2">
      <c r="A103" s="1" t="s">
        <v>142</v>
      </c>
      <c r="B103" s="3">
        <v>0.2</v>
      </c>
      <c r="C103" s="3">
        <v>0.2</v>
      </c>
      <c r="D103" s="4">
        <v>1</v>
      </c>
      <c r="E103" s="4">
        <v>1</v>
      </c>
      <c r="F103" s="4">
        <v>1</v>
      </c>
      <c r="G103" s="4">
        <v>1</v>
      </c>
      <c r="H103" s="3">
        <v>0.86033585375852539</v>
      </c>
      <c r="I103" s="3">
        <v>0.72702885227656344</v>
      </c>
      <c r="J103" s="3">
        <v>0.59372185079462203</v>
      </c>
      <c r="K103" s="4">
        <v>1</v>
      </c>
      <c r="L103" s="3">
        <v>0.83423627105066689</v>
      </c>
      <c r="M103" s="3">
        <v>0.66847254210132656</v>
      </c>
      <c r="N103" s="3">
        <v>0.48967182679949228</v>
      </c>
      <c r="O103" s="3">
        <v>0.31087111149766189</v>
      </c>
      <c r="P103" s="3">
        <v>0.69670467004982017</v>
      </c>
      <c r="Q103" s="3">
        <v>0.53113644669988014</v>
      </c>
      <c r="R103" s="3">
        <v>0.36556822334993999</v>
      </c>
      <c r="S103" s="3">
        <v>0.2</v>
      </c>
      <c r="T103" s="3">
        <v>0.2</v>
      </c>
      <c r="U103" s="3">
        <v>0.34421939264903367</v>
      </c>
      <c r="V103" s="3">
        <v>0.2</v>
      </c>
      <c r="W103" s="3">
        <v>0.2</v>
      </c>
      <c r="X103" s="3">
        <v>0.2</v>
      </c>
      <c r="Y103" s="3">
        <v>0.2</v>
      </c>
    </row>
    <row r="104" spans="1:25" ht="17.25" customHeight="1" x14ac:dyDescent="0.2">
      <c r="A104" s="1" t="s">
        <v>143</v>
      </c>
      <c r="B104" s="3">
        <v>0.2</v>
      </c>
      <c r="C104" s="3">
        <v>0.2</v>
      </c>
      <c r="D104" s="3">
        <v>0.2</v>
      </c>
      <c r="E104" s="4">
        <v>1</v>
      </c>
      <c r="F104" s="4">
        <v>1</v>
      </c>
      <c r="G104" s="3">
        <v>0.84388706485134035</v>
      </c>
      <c r="H104" s="3">
        <v>0.68777412970267671</v>
      </c>
      <c r="I104" s="3">
        <v>0.51729806711056692</v>
      </c>
      <c r="J104" s="3">
        <v>0.34682200451845119</v>
      </c>
      <c r="K104" s="4">
        <v>1</v>
      </c>
      <c r="L104" s="3">
        <v>0.86058562091408797</v>
      </c>
      <c r="M104" s="3">
        <v>0.67696656942822142</v>
      </c>
      <c r="N104" s="3">
        <v>0.49334751794235482</v>
      </c>
      <c r="O104" s="3">
        <v>0.8074906780143839</v>
      </c>
      <c r="P104" s="3">
        <v>0.69490707270457353</v>
      </c>
      <c r="Q104" s="3">
        <v>0.58232346739476304</v>
      </c>
      <c r="R104" s="3">
        <v>0.36927987744678231</v>
      </c>
      <c r="S104" s="3">
        <v>0.2</v>
      </c>
      <c r="T104" s="3">
        <v>0.2</v>
      </c>
      <c r="U104" s="3">
        <v>0.3402203799720051</v>
      </c>
      <c r="V104" s="3">
        <v>0.2</v>
      </c>
      <c r="W104" s="3">
        <v>0.2</v>
      </c>
      <c r="X104" s="3">
        <v>0.2</v>
      </c>
      <c r="Y104" s="3">
        <v>0.2</v>
      </c>
    </row>
    <row r="105" spans="1:25" ht="17.25" customHeight="1" x14ac:dyDescent="0.2">
      <c r="A105" s="1" t="s">
        <v>144</v>
      </c>
      <c r="B105" s="3">
        <v>0.2</v>
      </c>
      <c r="C105" s="3">
        <v>0.2</v>
      </c>
      <c r="D105" s="3">
        <v>0.2</v>
      </c>
      <c r="E105" s="4">
        <v>1</v>
      </c>
      <c r="F105" s="4">
        <v>1</v>
      </c>
      <c r="G105" s="4">
        <v>1</v>
      </c>
      <c r="H105" s="3">
        <v>0.86268756624817422</v>
      </c>
      <c r="I105" s="3">
        <v>0.71737961664641459</v>
      </c>
      <c r="J105" s="3">
        <v>0.57207166704465506</v>
      </c>
      <c r="K105" s="4">
        <v>1</v>
      </c>
      <c r="L105" s="3">
        <v>0.82198313021107983</v>
      </c>
      <c r="M105" s="3">
        <v>0.64396626042215432</v>
      </c>
      <c r="N105" s="3">
        <v>0.46594939063322982</v>
      </c>
      <c r="O105" s="3">
        <v>0.46594939063322982</v>
      </c>
      <c r="P105" s="3">
        <v>0.33789081576169999</v>
      </c>
      <c r="Q105" s="3">
        <v>0.20983224089017011</v>
      </c>
      <c r="R105" s="3">
        <v>0.56037269048622274</v>
      </c>
      <c r="S105" s="3">
        <v>0.3801863452431114</v>
      </c>
      <c r="T105" s="3">
        <v>0.2</v>
      </c>
      <c r="U105" s="3">
        <v>0.2</v>
      </c>
      <c r="V105" s="3">
        <v>0.2</v>
      </c>
      <c r="W105" s="3">
        <v>0.2</v>
      </c>
      <c r="X105" s="3">
        <v>0.2</v>
      </c>
      <c r="Y105" s="3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L2"/>
  <sheetViews>
    <sheetView workbookViewId="0">
      <selection activeCell="F2" sqref="F2"/>
    </sheetView>
  </sheetViews>
  <sheetFormatPr baseColWidth="10" defaultColWidth="8.83203125" defaultRowHeight="15" x14ac:dyDescent="0.2"/>
  <cols>
    <col min="1" max="2" width="12.5" style="8" bestFit="1" customWidth="1"/>
    <col min="3" max="4" width="12.5" style="5" bestFit="1" customWidth="1"/>
    <col min="5" max="5" width="12.5" style="8" bestFit="1" customWidth="1"/>
    <col min="6" max="6" width="12.5" style="5" bestFit="1" customWidth="1"/>
    <col min="7" max="7" width="15.5" style="8" customWidth="1"/>
    <col min="8" max="8" width="18.83203125" style="5" customWidth="1"/>
    <col min="9" max="11" width="12.5" style="5" bestFit="1" customWidth="1"/>
    <col min="12" max="12" width="12.5" style="8" bestFit="1" customWidth="1"/>
  </cols>
  <sheetData>
    <row r="1" spans="1:12" ht="17.25" customHeight="1" x14ac:dyDescent="0.2">
      <c r="A1" s="10" t="s">
        <v>9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228</v>
      </c>
      <c r="H1" s="10" t="s">
        <v>231</v>
      </c>
      <c r="I1" s="10" t="s">
        <v>229</v>
      </c>
      <c r="J1" s="10" t="s">
        <v>230</v>
      </c>
      <c r="K1" s="10" t="s">
        <v>15</v>
      </c>
      <c r="L1" s="10" t="s">
        <v>16</v>
      </c>
    </row>
    <row r="2" spans="1:12" ht="17.25" customHeight="1" x14ac:dyDescent="0.2">
      <c r="A2">
        <v>104</v>
      </c>
      <c r="B2">
        <v>58</v>
      </c>
      <c r="C2">
        <v>32974.15</v>
      </c>
      <c r="D2">
        <f t="shared" ref="D2" si="0">C2/A2</f>
        <v>317.05913461538461</v>
      </c>
      <c r="E2">
        <v>17500</v>
      </c>
      <c r="F2">
        <v>25.21</v>
      </c>
      <c r="G2">
        <f>C2*0.04165</f>
        <v>1373.3733475000001</v>
      </c>
      <c r="H2">
        <f>E2*15.963</f>
        <v>279352.5</v>
      </c>
      <c r="I2">
        <f>G2+(H2/30)</f>
        <v>10685.123347500001</v>
      </c>
      <c r="J2">
        <f t="shared" ref="J2" si="1">I2/A2</f>
        <v>102.74157064903847</v>
      </c>
      <c r="K2">
        <v>10.8</v>
      </c>
      <c r="L2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D5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2.5" bestFit="1" customWidth="1"/>
    <col min="2" max="3" width="12.5" style="7" bestFit="1" customWidth="1"/>
    <col min="4" max="4" width="12.5" style="8" bestFit="1" customWidth="1"/>
  </cols>
  <sheetData>
    <row r="1" spans="1:4" ht="17.25" customHeight="1" x14ac:dyDescent="0.2">
      <c r="A1" s="1" t="s">
        <v>1</v>
      </c>
      <c r="B1" s="6" t="s">
        <v>2</v>
      </c>
      <c r="C1" s="6" t="s">
        <v>3</v>
      </c>
      <c r="D1" s="6" t="s">
        <v>4</v>
      </c>
    </row>
    <row r="2" spans="1:4" ht="17.25" customHeight="1" x14ac:dyDescent="0.2">
      <c r="A2" t="s">
        <v>5</v>
      </c>
      <c r="B2" s="4">
        <v>104</v>
      </c>
      <c r="C2" s="4">
        <v>850000</v>
      </c>
      <c r="D2" s="4">
        <v>88400000</v>
      </c>
    </row>
    <row r="3" spans="1:4" ht="17.25" customHeight="1" x14ac:dyDescent="0.2">
      <c r="A3" t="s">
        <v>6</v>
      </c>
      <c r="B3" s="4">
        <v>58</v>
      </c>
      <c r="C3" s="4">
        <v>300000</v>
      </c>
      <c r="D3" s="4">
        <f>B3*C3</f>
        <v>17400000</v>
      </c>
    </row>
    <row r="4" spans="1:4" ht="17.25" customHeight="1" x14ac:dyDescent="0.2">
      <c r="A4" t="s">
        <v>7</v>
      </c>
      <c r="B4" s="4">
        <v>58</v>
      </c>
      <c r="C4" s="4">
        <v>90000</v>
      </c>
      <c r="D4" s="4">
        <f>B4*C4</f>
        <v>5220000</v>
      </c>
    </row>
    <row r="5" spans="1:4" ht="17.25" customHeight="1" x14ac:dyDescent="0.2">
      <c r="A5" t="s">
        <v>8</v>
      </c>
      <c r="D5" s="4">
        <f>SUM(D2:D4)</f>
        <v>111020000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B4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2.5" bestFit="1" customWidth="1"/>
    <col min="2" max="2" width="12.5" style="5" bestFit="1" customWidth="1"/>
  </cols>
  <sheetData>
    <row r="1" spans="1:2" ht="17.25" customHeight="1" x14ac:dyDescent="0.2">
      <c r="A1" s="1" t="s">
        <v>1</v>
      </c>
      <c r="B1" s="2" t="s">
        <v>0</v>
      </c>
    </row>
    <row r="2" spans="1:2" ht="17.25" customHeight="1" x14ac:dyDescent="0.2">
      <c r="A2" t="s">
        <v>233</v>
      </c>
      <c r="B2" s="3">
        <f>Metrics!G2*30</f>
        <v>41201.200425000003</v>
      </c>
    </row>
    <row r="3" spans="1:2" ht="17.25" customHeight="1" x14ac:dyDescent="0.2">
      <c r="A3" t="s">
        <v>232</v>
      </c>
      <c r="B3" s="3">
        <f>Metrics!H2</f>
        <v>279352.5</v>
      </c>
    </row>
    <row r="4" spans="1:2" ht="17.25" customHeight="1" x14ac:dyDescent="0.2">
      <c r="A4" t="s">
        <v>234</v>
      </c>
      <c r="B4" s="3">
        <f>B2+B3</f>
        <v>320553.70042499999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AvgSOC</vt:lpstr>
      <vt:lpstr>PowerAndPrice</vt:lpstr>
      <vt:lpstr>ChargerActivity</vt:lpstr>
      <vt:lpstr>ChargerGantt</vt:lpstr>
      <vt:lpstr>FleetUtilisationByBus</vt:lpstr>
      <vt:lpstr>FleetUtilisationFleetAvg</vt:lpstr>
      <vt:lpstr>ChargerUtilisation</vt:lpstr>
      <vt:lpstr>FleetEnergy</vt:lpstr>
      <vt:lpstr>EnergyHeatmap</vt:lpstr>
      <vt:lpstr>Metrics</vt:lpstr>
      <vt:lpstr>Costs_CAPEX</vt:lpstr>
      <vt:lpstr>Costs_OPEX_Month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2025-10-18T15:14:23Z</dcterms:created>
  <dcterms:modified xsi:type="dcterms:W3CDTF">2025-10-20T03:54:18Z</dcterms:modified>
</cp:coreProperties>
</file>