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atomanzolli/Documents/GitHub/EvTransitMatsim/python/"/>
    </mc:Choice>
  </mc:AlternateContent>
  <xr:revisionPtr revIDLastSave="0" documentId="13_ncr:1_{2AD047ED-7B54-6847-85F6-3169BC8BCCC8}" xr6:coauthVersionLast="47" xr6:coauthVersionMax="47" xr10:uidLastSave="{00000000-0000-0000-0000-000000000000}"/>
  <bookViews>
    <workbookView xWindow="340" yWindow="3180" windowWidth="36000" windowHeight="211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2" i="1"/>
  <c r="E3" i="1"/>
  <c r="E4" i="1"/>
  <c r="E5" i="1"/>
  <c r="E6" i="1"/>
  <c r="E7" i="1"/>
  <c r="E8" i="1"/>
  <c r="E2" i="1"/>
  <c r="D3" i="1"/>
  <c r="D4" i="1"/>
  <c r="D5" i="1"/>
  <c r="D6" i="1"/>
  <c r="D7" i="1"/>
  <c r="D8" i="1"/>
  <c r="D2" i="1"/>
</calcChain>
</file>

<file path=xl/sharedStrings.xml><?xml version="1.0" encoding="utf-8"?>
<sst xmlns="http://schemas.openxmlformats.org/spreadsheetml/2006/main" count="14" uniqueCount="11">
  <si>
    <t>Parameter_Tested</t>
  </si>
  <si>
    <t>total_energy_kWh</t>
  </si>
  <si>
    <t>peak_power_kW</t>
  </si>
  <si>
    <t>daily_opex</t>
  </si>
  <si>
    <t>charger_utilization</t>
  </si>
  <si>
    <t>Baseline</t>
  </si>
  <si>
    <t>Battery Capacity</t>
  </si>
  <si>
    <t>Charger Power</t>
  </si>
  <si>
    <t>Consumption Rate</t>
  </si>
  <si>
    <t>avg_power_kW</t>
  </si>
  <si>
    <t>avg_kWh_per_bus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</si>
</sst>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/>
  </sheetViews>
  <sheetFormatPr baseColWidth="10" defaultColWidth="8.83203125" defaultRowHeight="15" x14ac:dyDescent="0.2"/>
  <cols>
    <col min="1" max="1" width="15.33203125" customWidth="1"/>
    <col min="2" max="3" width="20.6640625" customWidth="1"/>
    <col min="4" max="5" width="14" customWidth="1"/>
    <col min="6" max="6" width="15.6640625" customWidth="1"/>
    <col min="7" max="7" width="20.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9</v>
      </c>
      <c r="F1" s="1" t="s">
        <v>10</v>
      </c>
      <c r="G1" s="1" t="s">
        <v>4</v>
      </c>
    </row>
    <row r="2" spans="1:7" x14ac:dyDescent="0.2">
      <c r="A2" t="s">
        <v>5</v>
      </c>
      <c r="B2">
        <v>26693.360000000001</v>
      </c>
      <c r="C2">
        <v>4687.12</v>
      </c>
      <c r="D2">
        <f>B2*0.0368+((C2*14.476)/30)</f>
        <v>3244.007285333334</v>
      </c>
      <c r="E2">
        <f>C2/58</f>
        <v>80.812413793103445</v>
      </c>
      <c r="F2">
        <f>B2/93</f>
        <v>287.02537634408606</v>
      </c>
      <c r="G2">
        <v>0.318</v>
      </c>
    </row>
    <row r="3" spans="1:7" x14ac:dyDescent="0.2">
      <c r="A3" t="s">
        <v>6</v>
      </c>
      <c r="B3">
        <v>26639.97</v>
      </c>
      <c r="C3">
        <v>4617.25</v>
      </c>
      <c r="D3">
        <f t="shared" ref="D3:D8" si="0">B3*0.0368+((C3*14.476)/30)</f>
        <v>3208.3279293333335</v>
      </c>
      <c r="E3">
        <f t="shared" ref="E3:E8" si="1">C3/58</f>
        <v>79.607758620689651</v>
      </c>
      <c r="F3">
        <f t="shared" ref="F3:F8" si="2">B3/93</f>
        <v>286.45129032258063</v>
      </c>
      <c r="G3">
        <v>0.31900000000000001</v>
      </c>
    </row>
    <row r="4" spans="1:7" x14ac:dyDescent="0.2">
      <c r="A4" t="s">
        <v>6</v>
      </c>
      <c r="B4">
        <v>26746.75</v>
      </c>
      <c r="C4">
        <v>4867.88</v>
      </c>
      <c r="D4">
        <f t="shared" si="0"/>
        <v>3333.194762666667</v>
      </c>
      <c r="E4">
        <f t="shared" si="1"/>
        <v>83.92896551724138</v>
      </c>
      <c r="F4">
        <f t="shared" si="2"/>
        <v>287.59946236559142</v>
      </c>
      <c r="G4">
        <v>0.32900000000000001</v>
      </c>
    </row>
    <row r="5" spans="1:7" x14ac:dyDescent="0.2">
      <c r="A5" t="s">
        <v>7</v>
      </c>
      <c r="B5">
        <v>26693.360000000001</v>
      </c>
      <c r="C5">
        <v>4452.6000000000004</v>
      </c>
      <c r="D5">
        <f t="shared" si="0"/>
        <v>3130.8435680000002</v>
      </c>
      <c r="E5">
        <f t="shared" si="1"/>
        <v>76.768965517241384</v>
      </c>
      <c r="F5">
        <f t="shared" si="2"/>
        <v>287.02537634408606</v>
      </c>
      <c r="G5">
        <v>0.33400000000000002</v>
      </c>
    </row>
    <row r="6" spans="1:7" x14ac:dyDescent="0.2">
      <c r="A6" t="s">
        <v>7</v>
      </c>
      <c r="B6">
        <v>26693.360000000001</v>
      </c>
      <c r="C6">
        <v>5167.99</v>
      </c>
      <c r="D6">
        <f t="shared" si="0"/>
        <v>3476.0430893333332</v>
      </c>
      <c r="E6">
        <f t="shared" si="1"/>
        <v>89.103275862068955</v>
      </c>
      <c r="F6">
        <f t="shared" si="2"/>
        <v>287.02537634408606</v>
      </c>
      <c r="G6">
        <v>0.27</v>
      </c>
    </row>
    <row r="7" spans="1:7" x14ac:dyDescent="0.2">
      <c r="A7" t="s">
        <v>8</v>
      </c>
      <c r="B7">
        <v>24024.02</v>
      </c>
      <c r="C7">
        <v>4543.42</v>
      </c>
      <c r="D7">
        <f t="shared" si="0"/>
        <v>3076.4355333333338</v>
      </c>
      <c r="E7">
        <f t="shared" si="1"/>
        <v>78.334827586206899</v>
      </c>
      <c r="F7">
        <f t="shared" si="2"/>
        <v>258.32279569892472</v>
      </c>
      <c r="G7">
        <v>0.29799999999999999</v>
      </c>
    </row>
    <row r="8" spans="1:7" x14ac:dyDescent="0.2">
      <c r="A8" t="s">
        <v>8</v>
      </c>
      <c r="B8">
        <v>29362.7</v>
      </c>
      <c r="C8">
        <v>4871.6099999999997</v>
      </c>
      <c r="D8">
        <f t="shared" si="0"/>
        <v>3431.2615719999999</v>
      </c>
      <c r="E8">
        <f t="shared" si="1"/>
        <v>83.993275862068955</v>
      </c>
      <c r="F8">
        <f t="shared" si="2"/>
        <v>315.72795698924733</v>
      </c>
      <c r="G8">
        <v>0.33100000000000002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Jônatas Augusto Manzolli</cp:lastModifiedBy>
  <dcterms:created xsi:type="dcterms:W3CDTF">2026-02-20T22:58:50Z</dcterms:created>
  <dcterms:modified xsi:type="dcterms:W3CDTF">2026-02-20T23:39:42Z</dcterms:modified>
</cp:coreProperties>
</file>