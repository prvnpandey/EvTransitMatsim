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E2498ECA-F802-D24B-8EFE-6BF96A61ABE7}" xr6:coauthVersionLast="47" xr6:coauthVersionMax="47" xr10:uidLastSave="{00000000-0000-0000-0000-000000000000}"/>
  <bookViews>
    <workbookView xWindow="0" yWindow="880" windowWidth="36000" windowHeight="22500" firstSheet="5" activeTab="11" xr2:uid="{00000000-000D-0000-FFFF-FFFF00000000}"/>
  </bookViews>
  <sheets>
    <sheet name="AvgSOC" sheetId="1" r:id="rId1"/>
    <sheet name="PowerAndPrice" sheetId="2" r:id="rId2"/>
    <sheet name="ChargerActivity" sheetId="3" r:id="rId3"/>
    <sheet name="ChargerGantt" sheetId="4" r:id="rId4"/>
    <sheet name="FleetUtilisationByBus" sheetId="5" r:id="rId5"/>
    <sheet name="FleetUtilisationFleetAvg" sheetId="6" r:id="rId6"/>
    <sheet name="ChargerUtilisation" sheetId="7" r:id="rId7"/>
    <sheet name="FleetEnergy" sheetId="8" r:id="rId8"/>
    <sheet name="EnergyHeatmap" sheetId="9" r:id="rId9"/>
    <sheet name="Metrics" sheetId="10" r:id="rId10"/>
    <sheet name="Costs_CAPEX" sheetId="11" r:id="rId11"/>
    <sheet name="Costs_OPEX_Month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2" l="1"/>
  <c r="B3" i="12"/>
  <c r="B2" i="12"/>
  <c r="H2" i="10"/>
  <c r="G2" i="10"/>
  <c r="I2" i="10"/>
  <c r="J2" i="10" s="1"/>
  <c r="D2" i="10"/>
</calcChain>
</file>

<file path=xl/sharedStrings.xml><?xml version="1.0" encoding="utf-8"?>
<sst xmlns="http://schemas.openxmlformats.org/spreadsheetml/2006/main" count="215" uniqueCount="208">
  <si>
    <t>TimeStep</t>
  </si>
  <si>
    <t>Hour</t>
  </si>
  <si>
    <t>AvgSOC</t>
  </si>
  <si>
    <t>ChargingPower_kW</t>
  </si>
  <si>
    <t>Price_per_kWh</t>
  </si>
  <si>
    <t>Charger 1</t>
  </si>
  <si>
    <t>Charger 2</t>
  </si>
  <si>
    <t>Charger 3</t>
  </si>
  <si>
    <t>Charger 4</t>
  </si>
  <si>
    <t>Charger 5</t>
  </si>
  <si>
    <t>Charger 6</t>
  </si>
  <si>
    <t>Charger 7</t>
  </si>
  <si>
    <t>Charger 8</t>
  </si>
  <si>
    <t>Charger 9</t>
  </si>
  <si>
    <t>Charger 10</t>
  </si>
  <si>
    <t>Charger 11</t>
  </si>
  <si>
    <t>Charger 12</t>
  </si>
  <si>
    <t>Charger 13</t>
  </si>
  <si>
    <t>Charger 14</t>
  </si>
  <si>
    <t>Charger 15</t>
  </si>
  <si>
    <t>Charger 16</t>
  </si>
  <si>
    <t>Charger 17</t>
  </si>
  <si>
    <t>Charger 18</t>
  </si>
  <si>
    <t>Charger 19</t>
  </si>
  <si>
    <t>Charger 20</t>
  </si>
  <si>
    <t>Charger 21</t>
  </si>
  <si>
    <t>Charger 22</t>
  </si>
  <si>
    <t>Charger 23</t>
  </si>
  <si>
    <t>Charger 24</t>
  </si>
  <si>
    <t>Charger 25</t>
  </si>
  <si>
    <t>Charger 26</t>
  </si>
  <si>
    <t>Charger 27</t>
  </si>
  <si>
    <t>Charger 28</t>
  </si>
  <si>
    <t>Charger 29</t>
  </si>
  <si>
    <t>Charger 30</t>
  </si>
  <si>
    <t>Charger 31</t>
  </si>
  <si>
    <t>Charger 32</t>
  </si>
  <si>
    <t>Charger 33</t>
  </si>
  <si>
    <t>Charger 34</t>
  </si>
  <si>
    <t>Charger 35</t>
  </si>
  <si>
    <t>Charger 36</t>
  </si>
  <si>
    <t>Charger 37</t>
  </si>
  <si>
    <t>Charger 38</t>
  </si>
  <si>
    <t>Charger 39</t>
  </si>
  <si>
    <t>Charger 40</t>
  </si>
  <si>
    <t>Charger 41</t>
  </si>
  <si>
    <t>Charger 42</t>
  </si>
  <si>
    <t>Charger 43</t>
  </si>
  <si>
    <t>Charger</t>
  </si>
  <si>
    <t>StartHour</t>
  </si>
  <si>
    <t>EndHour</t>
  </si>
  <si>
    <t>Duration_h</t>
  </si>
  <si>
    <t>Bus</t>
  </si>
  <si>
    <t>Driving_h</t>
  </si>
  <si>
    <t>Charging_h</t>
  </si>
  <si>
    <t>Idle_h</t>
  </si>
  <si>
    <t>Total_h</t>
  </si>
  <si>
    <t>Driving_pct</t>
  </si>
  <si>
    <t>Charging_pct</t>
  </si>
  <si>
    <t>Idle_pct</t>
  </si>
  <si>
    <t>Activity</t>
  </si>
  <si>
    <t>FleetAvg_pct</t>
  </si>
  <si>
    <t>State</t>
  </si>
  <si>
    <t>Slots</t>
  </si>
  <si>
    <t>Percentage</t>
  </si>
  <si>
    <t>In Use</t>
  </si>
  <si>
    <t>Idle</t>
  </si>
  <si>
    <t>TotalEnergy_kWh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</si>
  <si>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</si>
  <si>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</si>
  <si>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</si>
  <si>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</si>
  <si>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</si>
  <si>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</si>
  <si>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</si>
  <si>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</si>
  <si>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</si>
  <si>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</si>
  <si>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</si>
  <si>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</si>
  <si>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</si>
  <si>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</si>
  <si>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</si>
  <si>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</si>
  <si>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</si>
  <si>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</si>
  <si>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</si>
  <si>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</si>
  <si>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</si>
  <si>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</si>
  <si>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</si>
  <si>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</si>
  <si>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</si>
  <si>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</si>
  <si>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</si>
  <si>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</si>
  <si>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</si>
  <si>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</si>
  <si>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</si>
  <si>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</si>
  <si>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</si>
  <si>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</si>
  <si>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</si>
  <si>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</si>
  <si>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</si>
  <si>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</si>
  <si>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</si>
  <si>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</si>
  <si>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</si>
  <si>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</si>
  <si>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</si>
  <si>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</si>
  <si>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</si>
  <si>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</si>
  <si>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</si>
  <si>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</si>
  <si>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</si>
  <si>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</si>
  <si>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</si>
  <si>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</si>
  <si>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</si>
  <si>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</si>
  <si>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</si>
  <si>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</si>
  <si>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</si>
  <si>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</si>
  <si>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</si>
  <si>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</si>
  <si>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</si>
  <si>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</si>
  <si>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</si>
  <si>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</si>
  <si>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</si>
  <si>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</si>
  <si>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</si>
  <si>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</si>
  <si>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</si>
  <si>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</si>
  <si>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</si>
  <si>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</si>
  <si>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</si>
  <si>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</si>
  <si>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</si>
  <si>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</si>
  <si>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</si>
  <si>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</si>
  <si>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</si>
  <si>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</si>
  <si>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</si>
  <si>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</si>
  <si>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</si>
  <si>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</si>
  <si>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</si>
  <si>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</si>
  <si>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</si>
  <si>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</si>
  <si>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</si>
  <si>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</si>
  <si>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</si>
  <si>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</si>
  <si>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</si>
  <si>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</si>
  <si>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</si>
  <si>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</si>
  <si>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</si>
  <si>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</si>
  <si>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</si>
  <si>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</si>
  <si>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</si>
  <si>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</si>
  <si>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</si>
  <si>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</si>
  <si>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</si>
  <si>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</si>
  <si>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</si>
  <si>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</si>
  <si>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</si>
  <si>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</si>
  <si>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</si>
  <si>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</si>
  <si>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</si>
  <si>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</si>
  <si>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</si>
  <si>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</si>
  <si>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Total Fleet Size [buses]</t>
  </si>
  <si>
    <t>Number of Chargers [-]</t>
  </si>
  <si>
    <t>Total Energy [kWh]</t>
  </si>
  <si>
    <t>Avg Energy / Vehicle [kWh]</t>
  </si>
  <si>
    <t>Peak Power [kW]</t>
  </si>
  <si>
    <t>Avg Chargers Used [-]</t>
  </si>
  <si>
    <t>Avg Trips / Vehicle [-]</t>
  </si>
  <si>
    <t>Max Trips / Vehicle [-]</t>
  </si>
  <si>
    <t>Category</t>
  </si>
  <si>
    <t>Quantity</t>
  </si>
  <si>
    <t>Unit Cost [€]</t>
  </si>
  <si>
    <t>Total [€]</t>
  </si>
  <si>
    <t>Fleet CAPEX</t>
  </si>
  <si>
    <t>Charger CAPEX</t>
  </si>
  <si>
    <t>Implementation</t>
  </si>
  <si>
    <t>CAPEX Total</t>
  </si>
  <si>
    <t>Value [€]</t>
  </si>
  <si>
    <t xml:space="preserve"> Electricity Costs / day [CAD]</t>
  </si>
  <si>
    <t>Operational costs / day [CAD]</t>
  </si>
  <si>
    <t>Operational Costs / Vehicle [CAD]</t>
  </si>
  <si>
    <t>Contracted Power Costs [CAD]</t>
  </si>
  <si>
    <t>Contracted Power</t>
  </si>
  <si>
    <t>Energy</t>
  </si>
  <si>
    <t>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</si>
</sst>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0</v>
      </c>
      <c r="C2">
        <v>0.19999999999999971</v>
      </c>
    </row>
    <row r="3" spans="1:3" x14ac:dyDescent="0.2">
      <c r="A3">
        <v>2</v>
      </c>
      <c r="B3">
        <v>1</v>
      </c>
      <c r="C3">
        <v>0.34021739130434758</v>
      </c>
    </row>
    <row r="4" spans="1:3" x14ac:dyDescent="0.2">
      <c r="A4">
        <v>3</v>
      </c>
      <c r="B4">
        <v>2</v>
      </c>
      <c r="C4">
        <v>0.48043478260869571</v>
      </c>
    </row>
    <row r="5" spans="1:3" x14ac:dyDescent="0.2">
      <c r="A5">
        <v>4</v>
      </c>
      <c r="B5">
        <v>3</v>
      </c>
      <c r="C5">
        <v>0.62065217391304317</v>
      </c>
    </row>
    <row r="6" spans="1:3" x14ac:dyDescent="0.2">
      <c r="A6">
        <v>5</v>
      </c>
      <c r="B6">
        <v>4</v>
      </c>
      <c r="C6">
        <v>0.72851773106343187</v>
      </c>
    </row>
    <row r="7" spans="1:3" x14ac:dyDescent="0.2">
      <c r="A7">
        <v>6</v>
      </c>
      <c r="B7">
        <v>5</v>
      </c>
      <c r="C7">
        <v>0.81728219323685514</v>
      </c>
    </row>
    <row r="8" spans="1:3" x14ac:dyDescent="0.2">
      <c r="A8">
        <v>7</v>
      </c>
      <c r="B8">
        <v>6</v>
      </c>
      <c r="C8">
        <v>0.74778579967063563</v>
      </c>
    </row>
    <row r="9" spans="1:3" x14ac:dyDescent="0.2">
      <c r="A9">
        <v>8</v>
      </c>
      <c r="B9">
        <v>7</v>
      </c>
      <c r="C9">
        <v>0.67501862893565534</v>
      </c>
    </row>
    <row r="10" spans="1:3" x14ac:dyDescent="0.2">
      <c r="A10">
        <v>9</v>
      </c>
      <c r="B10">
        <v>8</v>
      </c>
      <c r="C10">
        <v>0.65700889355810455</v>
      </c>
    </row>
    <row r="11" spans="1:3" x14ac:dyDescent="0.2">
      <c r="A11">
        <v>10</v>
      </c>
      <c r="B11">
        <v>9</v>
      </c>
      <c r="C11">
        <v>0.64677926254456797</v>
      </c>
    </row>
    <row r="12" spans="1:3" x14ac:dyDescent="0.2">
      <c r="A12">
        <v>11</v>
      </c>
      <c r="B12">
        <v>10</v>
      </c>
      <c r="C12">
        <v>0.63244284130386508</v>
      </c>
    </row>
    <row r="13" spans="1:3" x14ac:dyDescent="0.2">
      <c r="A13">
        <v>12</v>
      </c>
      <c r="B13">
        <v>11</v>
      </c>
      <c r="C13">
        <v>0.57267540524656324</v>
      </c>
    </row>
    <row r="14" spans="1:3" x14ac:dyDescent="0.2">
      <c r="A14">
        <v>13</v>
      </c>
      <c r="B14">
        <v>12</v>
      </c>
      <c r="C14">
        <v>0.51637076214583522</v>
      </c>
    </row>
    <row r="15" spans="1:3" x14ac:dyDescent="0.2">
      <c r="A15">
        <v>14</v>
      </c>
      <c r="B15">
        <v>13</v>
      </c>
      <c r="C15">
        <v>0.45969237646673078</v>
      </c>
    </row>
    <row r="16" spans="1:3" x14ac:dyDescent="0.2">
      <c r="A16">
        <v>15</v>
      </c>
      <c r="B16">
        <v>14</v>
      </c>
      <c r="C16">
        <v>0.38820679869943531</v>
      </c>
    </row>
    <row r="17" spans="1:3" x14ac:dyDescent="0.2">
      <c r="A17">
        <v>16</v>
      </c>
      <c r="B17">
        <v>15</v>
      </c>
      <c r="C17">
        <v>0.32152773892080339</v>
      </c>
    </row>
    <row r="18" spans="1:3" x14ac:dyDescent="0.2">
      <c r="A18">
        <v>17</v>
      </c>
      <c r="B18">
        <v>16</v>
      </c>
      <c r="C18">
        <v>0.2784237031769326</v>
      </c>
    </row>
    <row r="19" spans="1:3" x14ac:dyDescent="0.2">
      <c r="A19">
        <v>18</v>
      </c>
      <c r="B19">
        <v>17</v>
      </c>
      <c r="C19">
        <v>0.25208638819985818</v>
      </c>
    </row>
    <row r="20" spans="1:3" x14ac:dyDescent="0.2">
      <c r="A20">
        <v>19</v>
      </c>
      <c r="B20">
        <v>18</v>
      </c>
      <c r="C20">
        <v>0.23567718862242659</v>
      </c>
    </row>
    <row r="21" spans="1:3" x14ac:dyDescent="0.2">
      <c r="A21">
        <v>20</v>
      </c>
      <c r="B21">
        <v>19</v>
      </c>
      <c r="C21">
        <v>0.24264322383158629</v>
      </c>
    </row>
    <row r="22" spans="1:3" x14ac:dyDescent="0.2">
      <c r="A22">
        <v>21</v>
      </c>
      <c r="B22">
        <v>20</v>
      </c>
      <c r="C22">
        <v>0.23883845447135649</v>
      </c>
    </row>
    <row r="23" spans="1:3" x14ac:dyDescent="0.2">
      <c r="A23">
        <v>22</v>
      </c>
      <c r="B23">
        <v>21</v>
      </c>
      <c r="C23">
        <v>0.21639968124795131</v>
      </c>
    </row>
    <row r="24" spans="1:3" x14ac:dyDescent="0.2">
      <c r="A24">
        <v>23</v>
      </c>
      <c r="B24">
        <v>22</v>
      </c>
      <c r="C24">
        <v>0.19999999999999971</v>
      </c>
    </row>
    <row r="25" spans="1:3" x14ac:dyDescent="0.2">
      <c r="A25">
        <v>24</v>
      </c>
      <c r="B25">
        <v>23</v>
      </c>
      <c r="C25">
        <v>0.19999999999999971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">
      <c r="A2">
        <v>1</v>
      </c>
      <c r="B2">
        <v>0</v>
      </c>
      <c r="C2">
        <v>0</v>
      </c>
      <c r="D2">
        <v>0.08</v>
      </c>
    </row>
    <row r="3" spans="1:4" x14ac:dyDescent="0.2">
      <c r="A3">
        <v>2</v>
      </c>
      <c r="B3">
        <v>1</v>
      </c>
      <c r="C3">
        <v>4300.0000001061107</v>
      </c>
      <c r="D3">
        <v>0.08</v>
      </c>
    </row>
    <row r="4" spans="1:4" x14ac:dyDescent="0.2">
      <c r="A4">
        <v>3</v>
      </c>
      <c r="B4">
        <v>2</v>
      </c>
      <c r="C4">
        <v>4300.0000003333334</v>
      </c>
      <c r="D4">
        <v>0.08</v>
      </c>
    </row>
    <row r="5" spans="1:4" x14ac:dyDescent="0.2">
      <c r="A5">
        <v>4</v>
      </c>
      <c r="B5">
        <v>3</v>
      </c>
      <c r="C5">
        <v>4300</v>
      </c>
      <c r="D5">
        <v>0.08</v>
      </c>
    </row>
    <row r="6" spans="1:4" x14ac:dyDescent="0.2">
      <c r="A6">
        <v>5</v>
      </c>
      <c r="B6">
        <v>4</v>
      </c>
      <c r="C6">
        <v>4300.0000002500001</v>
      </c>
      <c r="D6">
        <v>0.12</v>
      </c>
    </row>
    <row r="7" spans="1:4" x14ac:dyDescent="0.2">
      <c r="A7">
        <v>6</v>
      </c>
      <c r="B7">
        <v>5</v>
      </c>
      <c r="C7">
        <v>4300</v>
      </c>
      <c r="D7">
        <v>0.12</v>
      </c>
    </row>
    <row r="8" spans="1:4" x14ac:dyDescent="0.2">
      <c r="A8">
        <v>7</v>
      </c>
      <c r="B8">
        <v>6</v>
      </c>
      <c r="C8">
        <v>200</v>
      </c>
      <c r="D8">
        <v>0.12</v>
      </c>
    </row>
    <row r="9" spans="1:4" x14ac:dyDescent="0.2">
      <c r="A9">
        <v>8</v>
      </c>
      <c r="B9">
        <v>7</v>
      </c>
      <c r="C9">
        <v>100</v>
      </c>
      <c r="D9">
        <v>0.16</v>
      </c>
    </row>
    <row r="10" spans="1:4" x14ac:dyDescent="0.2">
      <c r="A10">
        <v>9</v>
      </c>
      <c r="B10">
        <v>8</v>
      </c>
      <c r="C10">
        <v>1800</v>
      </c>
      <c r="D10">
        <v>0.16</v>
      </c>
    </row>
    <row r="11" spans="1:4" x14ac:dyDescent="0.2">
      <c r="A11">
        <v>10</v>
      </c>
      <c r="B11">
        <v>9</v>
      </c>
      <c r="C11">
        <v>2100</v>
      </c>
      <c r="D11">
        <v>0.16</v>
      </c>
    </row>
    <row r="12" spans="1:4" x14ac:dyDescent="0.2">
      <c r="A12">
        <v>11</v>
      </c>
      <c r="B12">
        <v>10</v>
      </c>
      <c r="C12">
        <v>1800</v>
      </c>
      <c r="D12">
        <v>0.16</v>
      </c>
    </row>
    <row r="13" spans="1:4" x14ac:dyDescent="0.2">
      <c r="A13">
        <v>12</v>
      </c>
      <c r="B13">
        <v>11</v>
      </c>
      <c r="C13">
        <v>1200</v>
      </c>
      <c r="D13">
        <v>0.2</v>
      </c>
    </row>
    <row r="14" spans="1:4" x14ac:dyDescent="0.2">
      <c r="A14">
        <v>13</v>
      </c>
      <c r="B14">
        <v>12</v>
      </c>
      <c r="C14">
        <v>1200</v>
      </c>
      <c r="D14">
        <v>0.2</v>
      </c>
    </row>
    <row r="15" spans="1:4" x14ac:dyDescent="0.2">
      <c r="A15">
        <v>14</v>
      </c>
      <c r="B15">
        <v>13</v>
      </c>
      <c r="C15">
        <v>1400</v>
      </c>
      <c r="D15">
        <v>0.2</v>
      </c>
    </row>
    <row r="16" spans="1:4" x14ac:dyDescent="0.2">
      <c r="A16">
        <v>15</v>
      </c>
      <c r="B16">
        <v>14</v>
      </c>
      <c r="C16">
        <v>0</v>
      </c>
      <c r="D16">
        <v>0.2</v>
      </c>
    </row>
    <row r="17" spans="1:4" x14ac:dyDescent="0.2">
      <c r="A17">
        <v>16</v>
      </c>
      <c r="B17">
        <v>15</v>
      </c>
      <c r="C17">
        <v>200</v>
      </c>
      <c r="D17">
        <v>0.2</v>
      </c>
    </row>
    <row r="18" spans="1:4" x14ac:dyDescent="0.2">
      <c r="A18">
        <v>17</v>
      </c>
      <c r="B18">
        <v>16</v>
      </c>
      <c r="C18">
        <v>1300</v>
      </c>
      <c r="D18">
        <v>0.16</v>
      </c>
    </row>
    <row r="19" spans="1:4" x14ac:dyDescent="0.2">
      <c r="A19">
        <v>18</v>
      </c>
      <c r="B19">
        <v>17</v>
      </c>
      <c r="C19">
        <v>2600</v>
      </c>
      <c r="D19">
        <v>0.16</v>
      </c>
    </row>
    <row r="20" spans="1:4" x14ac:dyDescent="0.2">
      <c r="A20">
        <v>19</v>
      </c>
      <c r="B20">
        <v>18</v>
      </c>
      <c r="C20">
        <v>2500</v>
      </c>
      <c r="D20">
        <v>0.16</v>
      </c>
    </row>
    <row r="21" spans="1:4" x14ac:dyDescent="0.2">
      <c r="A21">
        <v>20</v>
      </c>
      <c r="B21">
        <v>19</v>
      </c>
      <c r="C21">
        <v>3100</v>
      </c>
      <c r="D21">
        <v>0.12</v>
      </c>
    </row>
    <row r="22" spans="1:4" x14ac:dyDescent="0.2">
      <c r="A22">
        <v>21</v>
      </c>
      <c r="B22">
        <v>20</v>
      </c>
      <c r="C22">
        <v>2700</v>
      </c>
      <c r="D22">
        <v>0.12</v>
      </c>
    </row>
    <row r="23" spans="1:4" x14ac:dyDescent="0.2">
      <c r="A23">
        <v>22</v>
      </c>
      <c r="B23">
        <v>21</v>
      </c>
      <c r="C23">
        <v>1400</v>
      </c>
      <c r="D23">
        <v>0.12</v>
      </c>
    </row>
    <row r="24" spans="1:4" x14ac:dyDescent="0.2">
      <c r="A24">
        <v>23</v>
      </c>
      <c r="B24">
        <v>22</v>
      </c>
      <c r="C24">
        <v>1500</v>
      </c>
      <c r="D24">
        <v>0.12</v>
      </c>
    </row>
    <row r="25" spans="1:4" x14ac:dyDescent="0.2">
      <c r="A25">
        <v>24</v>
      </c>
      <c r="B25">
        <v>23</v>
      </c>
      <c r="C25">
        <v>0</v>
      </c>
      <c r="D25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4"/>
  <sheetViews>
    <sheetView workbookViewId="0"/>
  </sheetViews>
  <sheetFormatPr baseColWidth="10" defaultColWidth="8.83203125" defaultRowHeight="15" x14ac:dyDescent="0.2"/>
  <sheetData>
    <row r="1" spans="1:2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 t="s">
        <v>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</row>
    <row r="3" spans="1:25" x14ac:dyDescent="0.2">
      <c r="A3" s="1" t="s">
        <v>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</row>
    <row r="4" spans="1:25" x14ac:dyDescent="0.2">
      <c r="A4" s="1" t="s">
        <v>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1</v>
      </c>
      <c r="Y4">
        <v>0</v>
      </c>
    </row>
    <row r="5" spans="1:25" x14ac:dyDescent="0.2">
      <c r="A5" s="1" t="s">
        <v>8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</row>
    <row r="6" spans="1:25" x14ac:dyDescent="0.2">
      <c r="A6" s="1" t="s">
        <v>9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</row>
    <row r="7" spans="1:25" x14ac:dyDescent="0.2">
      <c r="A7" s="1" t="s">
        <v>10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</row>
    <row r="8" spans="1:25" x14ac:dyDescent="0.2">
      <c r="A8" s="1" t="s">
        <v>11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 x14ac:dyDescent="0.2">
      <c r="A9" s="1" t="s">
        <v>12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</row>
    <row r="10" spans="1:25" x14ac:dyDescent="0.2">
      <c r="A10" s="1" t="s">
        <v>13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1</v>
      </c>
      <c r="W10">
        <v>0</v>
      </c>
      <c r="X10">
        <v>1</v>
      </c>
      <c r="Y10">
        <v>0</v>
      </c>
    </row>
    <row r="11" spans="1:25" x14ac:dyDescent="0.2">
      <c r="A11" s="1" t="s">
        <v>14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</row>
    <row r="12" spans="1:25" x14ac:dyDescent="0.2">
      <c r="A12" s="1" t="s">
        <v>15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</row>
    <row r="13" spans="1:25" x14ac:dyDescent="0.2">
      <c r="A13" s="1" t="s">
        <v>16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s="1" t="s">
        <v>17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</row>
    <row r="15" spans="1:25" x14ac:dyDescent="0.2">
      <c r="A15" s="1" t="s">
        <v>18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</row>
    <row r="16" spans="1:25" x14ac:dyDescent="0.2">
      <c r="A16" s="1" t="s">
        <v>19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1</v>
      </c>
      <c r="W16">
        <v>0</v>
      </c>
      <c r="X16">
        <v>1</v>
      </c>
      <c r="Y16">
        <v>0</v>
      </c>
    </row>
    <row r="17" spans="1:25" x14ac:dyDescent="0.2">
      <c r="A17" s="1" t="s">
        <v>20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</row>
    <row r="18" spans="1:25" x14ac:dyDescent="0.2">
      <c r="A18" s="1" t="s">
        <v>21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0</v>
      </c>
    </row>
    <row r="19" spans="1:25" x14ac:dyDescent="0.2">
      <c r="A19" s="1" t="s">
        <v>22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</row>
    <row r="20" spans="1:25" x14ac:dyDescent="0.2">
      <c r="A20" s="1" t="s">
        <v>23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0</v>
      </c>
      <c r="X20">
        <v>1</v>
      </c>
      <c r="Y20">
        <v>0</v>
      </c>
    </row>
    <row r="21" spans="1:25" x14ac:dyDescent="0.2">
      <c r="A21" s="1" t="s">
        <v>24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</row>
    <row r="22" spans="1:25" x14ac:dyDescent="0.2">
      <c r="A22" s="1" t="s">
        <v>25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</row>
    <row r="23" spans="1:25" x14ac:dyDescent="0.2">
      <c r="A23" s="1" t="s">
        <v>26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0</v>
      </c>
    </row>
    <row r="24" spans="1:25" x14ac:dyDescent="0.2">
      <c r="A24" s="1" t="s">
        <v>27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</row>
    <row r="25" spans="1:25" x14ac:dyDescent="0.2">
      <c r="A25" s="1" t="s">
        <v>28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s="1" t="s">
        <v>29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</row>
    <row r="27" spans="1:25" x14ac:dyDescent="0.2">
      <c r="A27" s="1" t="s">
        <v>30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</row>
    <row r="28" spans="1:25" x14ac:dyDescent="0.2">
      <c r="A28" s="1" t="s">
        <v>31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</row>
    <row r="29" spans="1:25" x14ac:dyDescent="0.2">
      <c r="A29" s="1" t="s">
        <v>32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</row>
    <row r="30" spans="1:25" x14ac:dyDescent="0.2">
      <c r="A30" s="1" t="s">
        <v>33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</row>
    <row r="31" spans="1:25" x14ac:dyDescent="0.2">
      <c r="A31" s="1" t="s">
        <v>34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</row>
    <row r="32" spans="1:25" x14ac:dyDescent="0.2">
      <c r="A32" s="1" t="s">
        <v>35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</row>
    <row r="33" spans="1:25" x14ac:dyDescent="0.2">
      <c r="A33" s="1" t="s">
        <v>36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</row>
    <row r="34" spans="1:25" x14ac:dyDescent="0.2">
      <c r="A34" s="1" t="s">
        <v>37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</row>
    <row r="35" spans="1:25" x14ac:dyDescent="0.2">
      <c r="A35" s="1" t="s">
        <v>38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s="1" t="s">
        <v>39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</row>
    <row r="37" spans="1:25" x14ac:dyDescent="0.2">
      <c r="A37" s="1" t="s">
        <v>40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1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0</v>
      </c>
      <c r="Y37">
        <v>0</v>
      </c>
    </row>
    <row r="38" spans="1:25" x14ac:dyDescent="0.2">
      <c r="A38" s="1" t="s">
        <v>41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</row>
    <row r="39" spans="1:25" x14ac:dyDescent="0.2">
      <c r="A39" s="1" t="s">
        <v>42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</row>
    <row r="40" spans="1:25" x14ac:dyDescent="0.2">
      <c r="A40" s="1" t="s">
        <v>43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</row>
    <row r="41" spans="1:25" x14ac:dyDescent="0.2">
      <c r="A41" s="1" t="s">
        <v>44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 s="1" t="s">
        <v>45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1</v>
      </c>
      <c r="Y42">
        <v>0</v>
      </c>
    </row>
    <row r="43" spans="1:25" x14ac:dyDescent="0.2">
      <c r="A43" s="1" t="s">
        <v>46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</row>
    <row r="44" spans="1:25" x14ac:dyDescent="0.2">
      <c r="A44" s="1" t="s">
        <v>47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48</v>
      </c>
      <c r="B1" s="1" t="s">
        <v>49</v>
      </c>
      <c r="C1" s="1" t="s">
        <v>50</v>
      </c>
      <c r="D1" s="1" t="s">
        <v>51</v>
      </c>
    </row>
    <row r="2" spans="1:4" x14ac:dyDescent="0.2">
      <c r="A2">
        <v>1</v>
      </c>
      <c r="B2">
        <v>1</v>
      </c>
      <c r="C2">
        <v>6</v>
      </c>
      <c r="D2">
        <v>5</v>
      </c>
    </row>
    <row r="3" spans="1:4" x14ac:dyDescent="0.2">
      <c r="A3">
        <v>1</v>
      </c>
      <c r="B3">
        <v>7</v>
      </c>
      <c r="C3">
        <v>8</v>
      </c>
      <c r="D3">
        <v>1</v>
      </c>
    </row>
    <row r="4" spans="1:4" x14ac:dyDescent="0.2">
      <c r="A4">
        <v>1</v>
      </c>
      <c r="B4">
        <v>9</v>
      </c>
      <c r="C4">
        <v>11</v>
      </c>
      <c r="D4">
        <v>2</v>
      </c>
    </row>
    <row r="5" spans="1:4" x14ac:dyDescent="0.2">
      <c r="A5">
        <v>1</v>
      </c>
      <c r="B5">
        <v>16</v>
      </c>
      <c r="C5">
        <v>23</v>
      </c>
      <c r="D5">
        <v>7</v>
      </c>
    </row>
    <row r="6" spans="1:4" x14ac:dyDescent="0.2">
      <c r="A6">
        <v>2</v>
      </c>
      <c r="B6">
        <v>1</v>
      </c>
      <c r="C6">
        <v>6</v>
      </c>
      <c r="D6">
        <v>5</v>
      </c>
    </row>
    <row r="7" spans="1:4" x14ac:dyDescent="0.2">
      <c r="A7">
        <v>2</v>
      </c>
      <c r="B7">
        <v>10</v>
      </c>
      <c r="C7">
        <v>11</v>
      </c>
      <c r="D7">
        <v>1</v>
      </c>
    </row>
    <row r="8" spans="1:4" x14ac:dyDescent="0.2">
      <c r="A8">
        <v>2</v>
      </c>
      <c r="B8">
        <v>12</v>
      </c>
      <c r="C8">
        <v>14</v>
      </c>
      <c r="D8">
        <v>2</v>
      </c>
    </row>
    <row r="9" spans="1:4" x14ac:dyDescent="0.2">
      <c r="A9">
        <v>2</v>
      </c>
      <c r="B9">
        <v>16</v>
      </c>
      <c r="C9">
        <v>22</v>
      </c>
      <c r="D9">
        <v>6</v>
      </c>
    </row>
    <row r="10" spans="1:4" x14ac:dyDescent="0.2">
      <c r="A10">
        <v>3</v>
      </c>
      <c r="B10">
        <v>1</v>
      </c>
      <c r="C10">
        <v>6</v>
      </c>
      <c r="D10">
        <v>5</v>
      </c>
    </row>
    <row r="11" spans="1:4" x14ac:dyDescent="0.2">
      <c r="A11">
        <v>3</v>
      </c>
      <c r="B11">
        <v>13</v>
      </c>
      <c r="C11">
        <v>14</v>
      </c>
      <c r="D11">
        <v>1</v>
      </c>
    </row>
    <row r="12" spans="1:4" x14ac:dyDescent="0.2">
      <c r="A12">
        <v>3</v>
      </c>
      <c r="B12">
        <v>16</v>
      </c>
      <c r="C12">
        <v>17</v>
      </c>
      <c r="D12">
        <v>1</v>
      </c>
    </row>
    <row r="13" spans="1:4" x14ac:dyDescent="0.2">
      <c r="A13">
        <v>3</v>
      </c>
      <c r="B13">
        <v>19</v>
      </c>
      <c r="C13">
        <v>21</v>
      </c>
      <c r="D13">
        <v>2</v>
      </c>
    </row>
    <row r="14" spans="1:4" x14ac:dyDescent="0.2">
      <c r="A14">
        <v>3</v>
      </c>
      <c r="B14">
        <v>22</v>
      </c>
      <c r="C14">
        <v>23</v>
      </c>
      <c r="D14">
        <v>1</v>
      </c>
    </row>
    <row r="15" spans="1:4" x14ac:dyDescent="0.2">
      <c r="A15">
        <v>4</v>
      </c>
      <c r="B15">
        <v>1</v>
      </c>
      <c r="C15">
        <v>6</v>
      </c>
      <c r="D15">
        <v>5</v>
      </c>
    </row>
    <row r="16" spans="1:4" x14ac:dyDescent="0.2">
      <c r="A16">
        <v>4</v>
      </c>
      <c r="B16">
        <v>8</v>
      </c>
      <c r="C16">
        <v>10</v>
      </c>
      <c r="D16">
        <v>2</v>
      </c>
    </row>
    <row r="17" spans="1:4" x14ac:dyDescent="0.2">
      <c r="A17">
        <v>4</v>
      </c>
      <c r="B17">
        <v>16</v>
      </c>
      <c r="C17">
        <v>20</v>
      </c>
      <c r="D17">
        <v>4</v>
      </c>
    </row>
    <row r="18" spans="1:4" x14ac:dyDescent="0.2">
      <c r="A18">
        <v>5</v>
      </c>
      <c r="B18">
        <v>1</v>
      </c>
      <c r="C18">
        <v>6</v>
      </c>
      <c r="D18">
        <v>5</v>
      </c>
    </row>
    <row r="19" spans="1:4" x14ac:dyDescent="0.2">
      <c r="A19">
        <v>5</v>
      </c>
      <c r="B19">
        <v>16</v>
      </c>
      <c r="C19">
        <v>18</v>
      </c>
      <c r="D19">
        <v>2</v>
      </c>
    </row>
    <row r="20" spans="1:4" x14ac:dyDescent="0.2">
      <c r="A20">
        <v>5</v>
      </c>
      <c r="B20">
        <v>19</v>
      </c>
      <c r="C20">
        <v>20</v>
      </c>
      <c r="D20">
        <v>1</v>
      </c>
    </row>
    <row r="21" spans="1:4" x14ac:dyDescent="0.2">
      <c r="A21">
        <v>5</v>
      </c>
      <c r="B21">
        <v>22</v>
      </c>
      <c r="C21">
        <v>23</v>
      </c>
      <c r="D21">
        <v>1</v>
      </c>
    </row>
    <row r="22" spans="1:4" x14ac:dyDescent="0.2">
      <c r="A22">
        <v>6</v>
      </c>
      <c r="B22">
        <v>1</v>
      </c>
      <c r="C22">
        <v>6</v>
      </c>
      <c r="D22">
        <v>5</v>
      </c>
    </row>
    <row r="23" spans="1:4" x14ac:dyDescent="0.2">
      <c r="A23">
        <v>6</v>
      </c>
      <c r="B23">
        <v>8</v>
      </c>
      <c r="C23">
        <v>9</v>
      </c>
      <c r="D23">
        <v>1</v>
      </c>
    </row>
    <row r="24" spans="1:4" x14ac:dyDescent="0.2">
      <c r="A24">
        <v>6</v>
      </c>
      <c r="B24">
        <v>13</v>
      </c>
      <c r="C24">
        <v>14</v>
      </c>
      <c r="D24">
        <v>1</v>
      </c>
    </row>
    <row r="25" spans="1:4" x14ac:dyDescent="0.2">
      <c r="A25">
        <v>6</v>
      </c>
      <c r="B25">
        <v>16</v>
      </c>
      <c r="C25">
        <v>17</v>
      </c>
      <c r="D25">
        <v>1</v>
      </c>
    </row>
    <row r="26" spans="1:4" x14ac:dyDescent="0.2">
      <c r="A26">
        <v>6</v>
      </c>
      <c r="B26">
        <v>18</v>
      </c>
      <c r="C26">
        <v>21</v>
      </c>
      <c r="D26">
        <v>3</v>
      </c>
    </row>
    <row r="27" spans="1:4" x14ac:dyDescent="0.2">
      <c r="A27">
        <v>7</v>
      </c>
      <c r="B27">
        <v>1</v>
      </c>
      <c r="C27">
        <v>6</v>
      </c>
      <c r="D27">
        <v>5</v>
      </c>
    </row>
    <row r="28" spans="1:4" x14ac:dyDescent="0.2">
      <c r="A28">
        <v>7</v>
      </c>
      <c r="B28">
        <v>9</v>
      </c>
      <c r="C28">
        <v>11</v>
      </c>
      <c r="D28">
        <v>2</v>
      </c>
    </row>
    <row r="29" spans="1:4" x14ac:dyDescent="0.2">
      <c r="A29">
        <v>7</v>
      </c>
      <c r="B29">
        <v>19</v>
      </c>
      <c r="C29">
        <v>20</v>
      </c>
      <c r="D29">
        <v>1</v>
      </c>
    </row>
    <row r="30" spans="1:4" x14ac:dyDescent="0.2">
      <c r="A30">
        <v>8</v>
      </c>
      <c r="B30">
        <v>1</v>
      </c>
      <c r="C30">
        <v>6</v>
      </c>
      <c r="D30">
        <v>5</v>
      </c>
    </row>
    <row r="31" spans="1:4" x14ac:dyDescent="0.2">
      <c r="A31">
        <v>8</v>
      </c>
      <c r="B31">
        <v>10</v>
      </c>
      <c r="C31">
        <v>11</v>
      </c>
      <c r="D31">
        <v>1</v>
      </c>
    </row>
    <row r="32" spans="1:4" x14ac:dyDescent="0.2">
      <c r="A32">
        <v>8</v>
      </c>
      <c r="B32">
        <v>18</v>
      </c>
      <c r="C32">
        <v>19</v>
      </c>
      <c r="D32">
        <v>1</v>
      </c>
    </row>
    <row r="33" spans="1:4" x14ac:dyDescent="0.2">
      <c r="A33">
        <v>8</v>
      </c>
      <c r="B33">
        <v>20</v>
      </c>
      <c r="C33">
        <v>21</v>
      </c>
      <c r="D33">
        <v>1</v>
      </c>
    </row>
    <row r="34" spans="1:4" x14ac:dyDescent="0.2">
      <c r="A34">
        <v>9</v>
      </c>
      <c r="B34">
        <v>1</v>
      </c>
      <c r="C34">
        <v>6</v>
      </c>
      <c r="D34">
        <v>5</v>
      </c>
    </row>
    <row r="35" spans="1:4" x14ac:dyDescent="0.2">
      <c r="A35">
        <v>9</v>
      </c>
      <c r="B35">
        <v>8</v>
      </c>
      <c r="C35">
        <v>10</v>
      </c>
      <c r="D35">
        <v>2</v>
      </c>
    </row>
    <row r="36" spans="1:4" x14ac:dyDescent="0.2">
      <c r="A36">
        <v>9</v>
      </c>
      <c r="B36">
        <v>11</v>
      </c>
      <c r="C36">
        <v>12</v>
      </c>
      <c r="D36">
        <v>1</v>
      </c>
    </row>
    <row r="37" spans="1:4" x14ac:dyDescent="0.2">
      <c r="A37">
        <v>9</v>
      </c>
      <c r="B37">
        <v>17</v>
      </c>
      <c r="C37">
        <v>18</v>
      </c>
      <c r="D37">
        <v>1</v>
      </c>
    </row>
    <row r="38" spans="1:4" x14ac:dyDescent="0.2">
      <c r="A38">
        <v>9</v>
      </c>
      <c r="B38">
        <v>19</v>
      </c>
      <c r="C38">
        <v>21</v>
      </c>
      <c r="D38">
        <v>2</v>
      </c>
    </row>
    <row r="39" spans="1:4" x14ac:dyDescent="0.2">
      <c r="A39">
        <v>9</v>
      </c>
      <c r="B39">
        <v>22</v>
      </c>
      <c r="C39">
        <v>23</v>
      </c>
      <c r="D39">
        <v>1</v>
      </c>
    </row>
    <row r="40" spans="1:4" x14ac:dyDescent="0.2">
      <c r="A40">
        <v>10</v>
      </c>
      <c r="B40">
        <v>1</v>
      </c>
      <c r="C40">
        <v>6</v>
      </c>
      <c r="D40">
        <v>5</v>
      </c>
    </row>
    <row r="41" spans="1:4" x14ac:dyDescent="0.2">
      <c r="A41">
        <v>10</v>
      </c>
      <c r="B41">
        <v>8</v>
      </c>
      <c r="C41">
        <v>13</v>
      </c>
      <c r="D41">
        <v>5</v>
      </c>
    </row>
    <row r="42" spans="1:4" x14ac:dyDescent="0.2">
      <c r="A42">
        <v>10</v>
      </c>
      <c r="B42">
        <v>16</v>
      </c>
      <c r="C42">
        <v>17</v>
      </c>
      <c r="D42">
        <v>1</v>
      </c>
    </row>
    <row r="43" spans="1:4" x14ac:dyDescent="0.2">
      <c r="A43">
        <v>10</v>
      </c>
      <c r="B43">
        <v>19</v>
      </c>
      <c r="C43">
        <v>20</v>
      </c>
      <c r="D43">
        <v>1</v>
      </c>
    </row>
    <row r="44" spans="1:4" x14ac:dyDescent="0.2">
      <c r="A44">
        <v>10</v>
      </c>
      <c r="B44">
        <v>22</v>
      </c>
      <c r="C44">
        <v>23</v>
      </c>
      <c r="D44">
        <v>1</v>
      </c>
    </row>
    <row r="45" spans="1:4" x14ac:dyDescent="0.2">
      <c r="A45">
        <v>11</v>
      </c>
      <c r="B45">
        <v>1</v>
      </c>
      <c r="C45">
        <v>6</v>
      </c>
      <c r="D45">
        <v>5</v>
      </c>
    </row>
    <row r="46" spans="1:4" x14ac:dyDescent="0.2">
      <c r="A46">
        <v>11</v>
      </c>
      <c r="B46">
        <v>8</v>
      </c>
      <c r="C46">
        <v>9</v>
      </c>
      <c r="D46">
        <v>1</v>
      </c>
    </row>
    <row r="47" spans="1:4" x14ac:dyDescent="0.2">
      <c r="A47">
        <v>11</v>
      </c>
      <c r="B47">
        <v>10</v>
      </c>
      <c r="C47">
        <v>11</v>
      </c>
      <c r="D47">
        <v>1</v>
      </c>
    </row>
    <row r="48" spans="1:4" x14ac:dyDescent="0.2">
      <c r="A48">
        <v>11</v>
      </c>
      <c r="B48">
        <v>18</v>
      </c>
      <c r="C48">
        <v>22</v>
      </c>
      <c r="D48">
        <v>4</v>
      </c>
    </row>
    <row r="49" spans="1:4" x14ac:dyDescent="0.2">
      <c r="A49">
        <v>12</v>
      </c>
      <c r="B49">
        <v>1</v>
      </c>
      <c r="C49">
        <v>6</v>
      </c>
      <c r="D49">
        <v>5</v>
      </c>
    </row>
    <row r="50" spans="1:4" x14ac:dyDescent="0.2">
      <c r="A50">
        <v>12</v>
      </c>
      <c r="B50">
        <v>8</v>
      </c>
      <c r="C50">
        <v>9</v>
      </c>
      <c r="D50">
        <v>1</v>
      </c>
    </row>
    <row r="51" spans="1:4" x14ac:dyDescent="0.2">
      <c r="A51">
        <v>12</v>
      </c>
      <c r="B51">
        <v>11</v>
      </c>
      <c r="C51">
        <v>12</v>
      </c>
      <c r="D51">
        <v>1</v>
      </c>
    </row>
    <row r="52" spans="1:4" x14ac:dyDescent="0.2">
      <c r="A52">
        <v>12</v>
      </c>
      <c r="B52">
        <v>13</v>
      </c>
      <c r="C52">
        <v>14</v>
      </c>
      <c r="D52">
        <v>1</v>
      </c>
    </row>
    <row r="53" spans="1:4" x14ac:dyDescent="0.2">
      <c r="A53">
        <v>12</v>
      </c>
      <c r="B53">
        <v>18</v>
      </c>
      <c r="C53">
        <v>20</v>
      </c>
      <c r="D53">
        <v>2</v>
      </c>
    </row>
    <row r="54" spans="1:4" x14ac:dyDescent="0.2">
      <c r="A54">
        <v>13</v>
      </c>
      <c r="B54">
        <v>1</v>
      </c>
      <c r="C54">
        <v>6</v>
      </c>
      <c r="D54">
        <v>5</v>
      </c>
    </row>
    <row r="55" spans="1:4" x14ac:dyDescent="0.2">
      <c r="A55">
        <v>13</v>
      </c>
      <c r="B55">
        <v>9</v>
      </c>
      <c r="C55">
        <v>13</v>
      </c>
      <c r="D55">
        <v>4</v>
      </c>
    </row>
    <row r="56" spans="1:4" x14ac:dyDescent="0.2">
      <c r="A56">
        <v>13</v>
      </c>
      <c r="B56">
        <v>15</v>
      </c>
      <c r="C56">
        <v>16</v>
      </c>
      <c r="D56">
        <v>1</v>
      </c>
    </row>
    <row r="57" spans="1:4" x14ac:dyDescent="0.2">
      <c r="A57">
        <v>13</v>
      </c>
      <c r="B57">
        <v>17</v>
      </c>
      <c r="C57">
        <v>23</v>
      </c>
      <c r="D57">
        <v>6</v>
      </c>
    </row>
    <row r="58" spans="1:4" x14ac:dyDescent="0.2">
      <c r="A58">
        <v>14</v>
      </c>
      <c r="B58">
        <v>1</v>
      </c>
      <c r="C58">
        <v>6</v>
      </c>
      <c r="D58">
        <v>5</v>
      </c>
    </row>
    <row r="59" spans="1:4" x14ac:dyDescent="0.2">
      <c r="A59">
        <v>14</v>
      </c>
      <c r="B59">
        <v>9</v>
      </c>
      <c r="C59">
        <v>10</v>
      </c>
      <c r="D59">
        <v>1</v>
      </c>
    </row>
    <row r="60" spans="1:4" x14ac:dyDescent="0.2">
      <c r="A60">
        <v>14</v>
      </c>
      <c r="B60">
        <v>12</v>
      </c>
      <c r="C60">
        <v>14</v>
      </c>
      <c r="D60">
        <v>2</v>
      </c>
    </row>
    <row r="61" spans="1:4" x14ac:dyDescent="0.2">
      <c r="A61">
        <v>14</v>
      </c>
      <c r="B61">
        <v>17</v>
      </c>
      <c r="C61">
        <v>18</v>
      </c>
      <c r="D61">
        <v>1</v>
      </c>
    </row>
    <row r="62" spans="1:4" x14ac:dyDescent="0.2">
      <c r="A62">
        <v>14</v>
      </c>
      <c r="B62">
        <v>21</v>
      </c>
      <c r="C62">
        <v>22</v>
      </c>
      <c r="D62">
        <v>1</v>
      </c>
    </row>
    <row r="63" spans="1:4" x14ac:dyDescent="0.2">
      <c r="A63">
        <v>15</v>
      </c>
      <c r="B63">
        <v>1</v>
      </c>
      <c r="C63">
        <v>6</v>
      </c>
      <c r="D63">
        <v>5</v>
      </c>
    </row>
    <row r="64" spans="1:4" x14ac:dyDescent="0.2">
      <c r="A64">
        <v>15</v>
      </c>
      <c r="B64">
        <v>8</v>
      </c>
      <c r="C64">
        <v>9</v>
      </c>
      <c r="D64">
        <v>1</v>
      </c>
    </row>
    <row r="65" spans="1:4" x14ac:dyDescent="0.2">
      <c r="A65">
        <v>15</v>
      </c>
      <c r="B65">
        <v>10</v>
      </c>
      <c r="C65">
        <v>11</v>
      </c>
      <c r="D65">
        <v>1</v>
      </c>
    </row>
    <row r="66" spans="1:4" x14ac:dyDescent="0.2">
      <c r="A66">
        <v>15</v>
      </c>
      <c r="B66">
        <v>12</v>
      </c>
      <c r="C66">
        <v>14</v>
      </c>
      <c r="D66">
        <v>2</v>
      </c>
    </row>
    <row r="67" spans="1:4" x14ac:dyDescent="0.2">
      <c r="A67">
        <v>15</v>
      </c>
      <c r="B67">
        <v>16</v>
      </c>
      <c r="C67">
        <v>18</v>
      </c>
      <c r="D67">
        <v>2</v>
      </c>
    </row>
    <row r="68" spans="1:4" x14ac:dyDescent="0.2">
      <c r="A68">
        <v>15</v>
      </c>
      <c r="B68">
        <v>19</v>
      </c>
      <c r="C68">
        <v>21</v>
      </c>
      <c r="D68">
        <v>2</v>
      </c>
    </row>
    <row r="69" spans="1:4" x14ac:dyDescent="0.2">
      <c r="A69">
        <v>15</v>
      </c>
      <c r="B69">
        <v>22</v>
      </c>
      <c r="C69">
        <v>23</v>
      </c>
      <c r="D69">
        <v>1</v>
      </c>
    </row>
    <row r="70" spans="1:4" x14ac:dyDescent="0.2">
      <c r="A70">
        <v>16</v>
      </c>
      <c r="B70">
        <v>1</v>
      </c>
      <c r="C70">
        <v>6</v>
      </c>
      <c r="D70">
        <v>5</v>
      </c>
    </row>
    <row r="71" spans="1:4" x14ac:dyDescent="0.2">
      <c r="A71">
        <v>16</v>
      </c>
      <c r="B71">
        <v>8</v>
      </c>
      <c r="C71">
        <v>9</v>
      </c>
      <c r="D71">
        <v>1</v>
      </c>
    </row>
    <row r="72" spans="1:4" x14ac:dyDescent="0.2">
      <c r="A72">
        <v>16</v>
      </c>
      <c r="B72">
        <v>15</v>
      </c>
      <c r="C72">
        <v>16</v>
      </c>
      <c r="D72">
        <v>1</v>
      </c>
    </row>
    <row r="73" spans="1:4" x14ac:dyDescent="0.2">
      <c r="A73">
        <v>16</v>
      </c>
      <c r="B73">
        <v>17</v>
      </c>
      <c r="C73">
        <v>21</v>
      </c>
      <c r="D73">
        <v>4</v>
      </c>
    </row>
    <row r="74" spans="1:4" x14ac:dyDescent="0.2">
      <c r="A74">
        <v>17</v>
      </c>
      <c r="B74">
        <v>1</v>
      </c>
      <c r="C74">
        <v>6</v>
      </c>
      <c r="D74">
        <v>5</v>
      </c>
    </row>
    <row r="75" spans="1:4" x14ac:dyDescent="0.2">
      <c r="A75">
        <v>17</v>
      </c>
      <c r="B75">
        <v>10</v>
      </c>
      <c r="C75">
        <v>13</v>
      </c>
      <c r="D75">
        <v>3</v>
      </c>
    </row>
    <row r="76" spans="1:4" x14ac:dyDescent="0.2">
      <c r="A76">
        <v>17</v>
      </c>
      <c r="B76">
        <v>16</v>
      </c>
      <c r="C76">
        <v>20</v>
      </c>
      <c r="D76">
        <v>4</v>
      </c>
    </row>
    <row r="77" spans="1:4" x14ac:dyDescent="0.2">
      <c r="A77">
        <v>17</v>
      </c>
      <c r="B77">
        <v>21</v>
      </c>
      <c r="C77">
        <v>23</v>
      </c>
      <c r="D77">
        <v>2</v>
      </c>
    </row>
    <row r="78" spans="1:4" x14ac:dyDescent="0.2">
      <c r="A78">
        <v>18</v>
      </c>
      <c r="B78">
        <v>1</v>
      </c>
      <c r="C78">
        <v>6</v>
      </c>
      <c r="D78">
        <v>5</v>
      </c>
    </row>
    <row r="79" spans="1:4" x14ac:dyDescent="0.2">
      <c r="A79">
        <v>18</v>
      </c>
      <c r="B79">
        <v>9</v>
      </c>
      <c r="C79">
        <v>10</v>
      </c>
      <c r="D79">
        <v>1</v>
      </c>
    </row>
    <row r="80" spans="1:4" x14ac:dyDescent="0.2">
      <c r="A80">
        <v>18</v>
      </c>
      <c r="B80">
        <v>11</v>
      </c>
      <c r="C80">
        <v>12</v>
      </c>
      <c r="D80">
        <v>1</v>
      </c>
    </row>
    <row r="81" spans="1:4" x14ac:dyDescent="0.2">
      <c r="A81">
        <v>18</v>
      </c>
      <c r="B81">
        <v>17</v>
      </c>
      <c r="C81">
        <v>22</v>
      </c>
      <c r="D81">
        <v>5</v>
      </c>
    </row>
    <row r="82" spans="1:4" x14ac:dyDescent="0.2">
      <c r="A82">
        <v>19</v>
      </c>
      <c r="B82">
        <v>1</v>
      </c>
      <c r="C82">
        <v>6</v>
      </c>
      <c r="D82">
        <v>5</v>
      </c>
    </row>
    <row r="83" spans="1:4" x14ac:dyDescent="0.2">
      <c r="A83">
        <v>19</v>
      </c>
      <c r="B83">
        <v>10</v>
      </c>
      <c r="C83">
        <v>11</v>
      </c>
      <c r="D83">
        <v>1</v>
      </c>
    </row>
    <row r="84" spans="1:4" x14ac:dyDescent="0.2">
      <c r="A84">
        <v>19</v>
      </c>
      <c r="B84">
        <v>12</v>
      </c>
      <c r="C84">
        <v>13</v>
      </c>
      <c r="D84">
        <v>1</v>
      </c>
    </row>
    <row r="85" spans="1:4" x14ac:dyDescent="0.2">
      <c r="A85">
        <v>19</v>
      </c>
      <c r="B85">
        <v>17</v>
      </c>
      <c r="C85">
        <v>18</v>
      </c>
      <c r="D85">
        <v>1</v>
      </c>
    </row>
    <row r="86" spans="1:4" x14ac:dyDescent="0.2">
      <c r="A86">
        <v>19</v>
      </c>
      <c r="B86">
        <v>19</v>
      </c>
      <c r="C86">
        <v>21</v>
      </c>
      <c r="D86">
        <v>2</v>
      </c>
    </row>
    <row r="87" spans="1:4" x14ac:dyDescent="0.2">
      <c r="A87">
        <v>19</v>
      </c>
      <c r="B87">
        <v>22</v>
      </c>
      <c r="C87">
        <v>23</v>
      </c>
      <c r="D87">
        <v>1</v>
      </c>
    </row>
    <row r="88" spans="1:4" x14ac:dyDescent="0.2">
      <c r="A88">
        <v>20</v>
      </c>
      <c r="B88">
        <v>1</v>
      </c>
      <c r="C88">
        <v>6</v>
      </c>
      <c r="D88">
        <v>5</v>
      </c>
    </row>
    <row r="89" spans="1:4" x14ac:dyDescent="0.2">
      <c r="A89">
        <v>20</v>
      </c>
      <c r="B89">
        <v>8</v>
      </c>
      <c r="C89">
        <v>9</v>
      </c>
      <c r="D89">
        <v>1</v>
      </c>
    </row>
    <row r="90" spans="1:4" x14ac:dyDescent="0.2">
      <c r="A90">
        <v>20</v>
      </c>
      <c r="B90">
        <v>10</v>
      </c>
      <c r="C90">
        <v>11</v>
      </c>
      <c r="D90">
        <v>1</v>
      </c>
    </row>
    <row r="91" spans="1:4" x14ac:dyDescent="0.2">
      <c r="A91">
        <v>20</v>
      </c>
      <c r="B91">
        <v>17</v>
      </c>
      <c r="C91">
        <v>18</v>
      </c>
      <c r="D91">
        <v>1</v>
      </c>
    </row>
    <row r="92" spans="1:4" x14ac:dyDescent="0.2">
      <c r="A92">
        <v>20</v>
      </c>
      <c r="B92">
        <v>19</v>
      </c>
      <c r="C92">
        <v>20</v>
      </c>
      <c r="D92">
        <v>1</v>
      </c>
    </row>
    <row r="93" spans="1:4" x14ac:dyDescent="0.2">
      <c r="A93">
        <v>20</v>
      </c>
      <c r="B93">
        <v>21</v>
      </c>
      <c r="C93">
        <v>22</v>
      </c>
      <c r="D93">
        <v>1</v>
      </c>
    </row>
    <row r="94" spans="1:4" x14ac:dyDescent="0.2">
      <c r="A94">
        <v>21</v>
      </c>
      <c r="B94">
        <v>1</v>
      </c>
      <c r="C94">
        <v>6</v>
      </c>
      <c r="D94">
        <v>5</v>
      </c>
    </row>
    <row r="95" spans="1:4" x14ac:dyDescent="0.2">
      <c r="A95">
        <v>21</v>
      </c>
      <c r="B95">
        <v>9</v>
      </c>
      <c r="C95">
        <v>11</v>
      </c>
      <c r="D95">
        <v>2</v>
      </c>
    </row>
    <row r="96" spans="1:4" x14ac:dyDescent="0.2">
      <c r="A96">
        <v>21</v>
      </c>
      <c r="B96">
        <v>13</v>
      </c>
      <c r="C96">
        <v>14</v>
      </c>
      <c r="D96">
        <v>1</v>
      </c>
    </row>
    <row r="97" spans="1:4" x14ac:dyDescent="0.2">
      <c r="A97">
        <v>21</v>
      </c>
      <c r="B97">
        <v>17</v>
      </c>
      <c r="C97">
        <v>18</v>
      </c>
      <c r="D97">
        <v>1</v>
      </c>
    </row>
    <row r="98" spans="1:4" x14ac:dyDescent="0.2">
      <c r="A98">
        <v>21</v>
      </c>
      <c r="B98">
        <v>20</v>
      </c>
      <c r="C98">
        <v>22</v>
      </c>
      <c r="D98">
        <v>2</v>
      </c>
    </row>
    <row r="99" spans="1:4" x14ac:dyDescent="0.2">
      <c r="A99">
        <v>22</v>
      </c>
      <c r="B99">
        <v>1</v>
      </c>
      <c r="C99">
        <v>6</v>
      </c>
      <c r="D99">
        <v>5</v>
      </c>
    </row>
    <row r="100" spans="1:4" x14ac:dyDescent="0.2">
      <c r="A100">
        <v>22</v>
      </c>
      <c r="B100">
        <v>11</v>
      </c>
      <c r="C100">
        <v>12</v>
      </c>
      <c r="D100">
        <v>1</v>
      </c>
    </row>
    <row r="101" spans="1:4" x14ac:dyDescent="0.2">
      <c r="A101">
        <v>22</v>
      </c>
      <c r="B101">
        <v>17</v>
      </c>
      <c r="C101">
        <v>20</v>
      </c>
      <c r="D101">
        <v>3</v>
      </c>
    </row>
    <row r="102" spans="1:4" x14ac:dyDescent="0.2">
      <c r="A102">
        <v>22</v>
      </c>
      <c r="B102">
        <v>22</v>
      </c>
      <c r="C102">
        <v>23</v>
      </c>
      <c r="D102">
        <v>1</v>
      </c>
    </row>
    <row r="103" spans="1:4" x14ac:dyDescent="0.2">
      <c r="A103">
        <v>23</v>
      </c>
      <c r="B103">
        <v>1</v>
      </c>
      <c r="C103">
        <v>6</v>
      </c>
      <c r="D103">
        <v>5</v>
      </c>
    </row>
    <row r="104" spans="1:4" x14ac:dyDescent="0.2">
      <c r="A104">
        <v>23</v>
      </c>
      <c r="B104">
        <v>13</v>
      </c>
      <c r="C104">
        <v>14</v>
      </c>
      <c r="D104">
        <v>1</v>
      </c>
    </row>
    <row r="105" spans="1:4" x14ac:dyDescent="0.2">
      <c r="A105">
        <v>23</v>
      </c>
      <c r="B105">
        <v>17</v>
      </c>
      <c r="C105">
        <v>18</v>
      </c>
      <c r="D105">
        <v>1</v>
      </c>
    </row>
    <row r="106" spans="1:4" x14ac:dyDescent="0.2">
      <c r="A106">
        <v>23</v>
      </c>
      <c r="B106">
        <v>20</v>
      </c>
      <c r="C106">
        <v>21</v>
      </c>
      <c r="D106">
        <v>1</v>
      </c>
    </row>
    <row r="107" spans="1:4" x14ac:dyDescent="0.2">
      <c r="A107">
        <v>24</v>
      </c>
      <c r="B107">
        <v>1</v>
      </c>
      <c r="C107">
        <v>6</v>
      </c>
      <c r="D107">
        <v>5</v>
      </c>
    </row>
    <row r="108" spans="1:4" x14ac:dyDescent="0.2">
      <c r="A108">
        <v>24</v>
      </c>
      <c r="B108">
        <v>12</v>
      </c>
      <c r="C108">
        <v>14</v>
      </c>
      <c r="D108">
        <v>2</v>
      </c>
    </row>
    <row r="109" spans="1:4" x14ac:dyDescent="0.2">
      <c r="A109">
        <v>24</v>
      </c>
      <c r="B109">
        <v>17</v>
      </c>
      <c r="C109">
        <v>20</v>
      </c>
      <c r="D109">
        <v>3</v>
      </c>
    </row>
    <row r="110" spans="1:4" x14ac:dyDescent="0.2">
      <c r="A110">
        <v>25</v>
      </c>
      <c r="B110">
        <v>1</v>
      </c>
      <c r="C110">
        <v>6</v>
      </c>
      <c r="D110">
        <v>5</v>
      </c>
    </row>
    <row r="111" spans="1:4" x14ac:dyDescent="0.2">
      <c r="A111">
        <v>25</v>
      </c>
      <c r="B111">
        <v>9</v>
      </c>
      <c r="C111">
        <v>10</v>
      </c>
      <c r="D111">
        <v>1</v>
      </c>
    </row>
    <row r="112" spans="1:4" x14ac:dyDescent="0.2">
      <c r="A112">
        <v>25</v>
      </c>
      <c r="B112">
        <v>11</v>
      </c>
      <c r="C112">
        <v>12</v>
      </c>
      <c r="D112">
        <v>1</v>
      </c>
    </row>
    <row r="113" spans="1:4" x14ac:dyDescent="0.2">
      <c r="A113">
        <v>25</v>
      </c>
      <c r="B113">
        <v>17</v>
      </c>
      <c r="C113">
        <v>19</v>
      </c>
      <c r="D113">
        <v>2</v>
      </c>
    </row>
    <row r="114" spans="1:4" x14ac:dyDescent="0.2">
      <c r="A114">
        <v>25</v>
      </c>
      <c r="B114">
        <v>21</v>
      </c>
      <c r="C114">
        <v>22</v>
      </c>
      <c r="D114">
        <v>1</v>
      </c>
    </row>
    <row r="115" spans="1:4" x14ac:dyDescent="0.2">
      <c r="A115">
        <v>26</v>
      </c>
      <c r="B115">
        <v>1</v>
      </c>
      <c r="C115">
        <v>6</v>
      </c>
      <c r="D115">
        <v>5</v>
      </c>
    </row>
    <row r="116" spans="1:4" x14ac:dyDescent="0.2">
      <c r="A116">
        <v>26</v>
      </c>
      <c r="B116">
        <v>11</v>
      </c>
      <c r="C116">
        <v>13</v>
      </c>
      <c r="D116">
        <v>2</v>
      </c>
    </row>
    <row r="117" spans="1:4" x14ac:dyDescent="0.2">
      <c r="A117">
        <v>26</v>
      </c>
      <c r="B117">
        <v>18</v>
      </c>
      <c r="C117">
        <v>19</v>
      </c>
      <c r="D117">
        <v>1</v>
      </c>
    </row>
    <row r="118" spans="1:4" x14ac:dyDescent="0.2">
      <c r="A118">
        <v>26</v>
      </c>
      <c r="B118">
        <v>20</v>
      </c>
      <c r="C118">
        <v>21</v>
      </c>
      <c r="D118">
        <v>1</v>
      </c>
    </row>
    <row r="119" spans="1:4" x14ac:dyDescent="0.2">
      <c r="A119">
        <v>27</v>
      </c>
      <c r="B119">
        <v>1</v>
      </c>
      <c r="C119">
        <v>6</v>
      </c>
      <c r="D119">
        <v>5</v>
      </c>
    </row>
    <row r="120" spans="1:4" x14ac:dyDescent="0.2">
      <c r="A120">
        <v>27</v>
      </c>
      <c r="B120">
        <v>12</v>
      </c>
      <c r="C120">
        <v>13</v>
      </c>
      <c r="D120">
        <v>1</v>
      </c>
    </row>
    <row r="121" spans="1:4" x14ac:dyDescent="0.2">
      <c r="A121">
        <v>27</v>
      </c>
      <c r="B121">
        <v>16</v>
      </c>
      <c r="C121">
        <v>17</v>
      </c>
      <c r="D121">
        <v>1</v>
      </c>
    </row>
    <row r="122" spans="1:4" x14ac:dyDescent="0.2">
      <c r="A122">
        <v>27</v>
      </c>
      <c r="B122">
        <v>19</v>
      </c>
      <c r="C122">
        <v>21</v>
      </c>
      <c r="D122">
        <v>2</v>
      </c>
    </row>
    <row r="123" spans="1:4" x14ac:dyDescent="0.2">
      <c r="A123">
        <v>28</v>
      </c>
      <c r="B123">
        <v>1</v>
      </c>
      <c r="C123">
        <v>6</v>
      </c>
      <c r="D123">
        <v>5</v>
      </c>
    </row>
    <row r="124" spans="1:4" x14ac:dyDescent="0.2">
      <c r="A124">
        <v>28</v>
      </c>
      <c r="B124">
        <v>9</v>
      </c>
      <c r="C124">
        <v>11</v>
      </c>
      <c r="D124">
        <v>2</v>
      </c>
    </row>
    <row r="125" spans="1:4" x14ac:dyDescent="0.2">
      <c r="A125">
        <v>28</v>
      </c>
      <c r="B125">
        <v>20</v>
      </c>
      <c r="C125">
        <v>21</v>
      </c>
      <c r="D125">
        <v>1</v>
      </c>
    </row>
    <row r="126" spans="1:4" x14ac:dyDescent="0.2">
      <c r="A126">
        <v>29</v>
      </c>
      <c r="B126">
        <v>1</v>
      </c>
      <c r="C126">
        <v>6</v>
      </c>
      <c r="D126">
        <v>5</v>
      </c>
    </row>
    <row r="127" spans="1:4" x14ac:dyDescent="0.2">
      <c r="A127">
        <v>29</v>
      </c>
      <c r="B127">
        <v>8</v>
      </c>
      <c r="C127">
        <v>9</v>
      </c>
      <c r="D127">
        <v>1</v>
      </c>
    </row>
    <row r="128" spans="1:4" x14ac:dyDescent="0.2">
      <c r="A128">
        <v>29</v>
      </c>
      <c r="B128">
        <v>10</v>
      </c>
      <c r="C128">
        <v>11</v>
      </c>
      <c r="D128">
        <v>1</v>
      </c>
    </row>
    <row r="129" spans="1:4" x14ac:dyDescent="0.2">
      <c r="A129">
        <v>29</v>
      </c>
      <c r="B129">
        <v>12</v>
      </c>
      <c r="C129">
        <v>13</v>
      </c>
      <c r="D129">
        <v>1</v>
      </c>
    </row>
    <row r="130" spans="1:4" x14ac:dyDescent="0.2">
      <c r="A130">
        <v>29</v>
      </c>
      <c r="B130">
        <v>16</v>
      </c>
      <c r="C130">
        <v>19</v>
      </c>
      <c r="D130">
        <v>3</v>
      </c>
    </row>
    <row r="131" spans="1:4" x14ac:dyDescent="0.2">
      <c r="A131">
        <v>29</v>
      </c>
      <c r="B131">
        <v>20</v>
      </c>
      <c r="C131">
        <v>21</v>
      </c>
      <c r="D131">
        <v>1</v>
      </c>
    </row>
    <row r="132" spans="1:4" x14ac:dyDescent="0.2">
      <c r="A132">
        <v>30</v>
      </c>
      <c r="B132">
        <v>1</v>
      </c>
      <c r="C132">
        <v>6</v>
      </c>
      <c r="D132">
        <v>5</v>
      </c>
    </row>
    <row r="133" spans="1:4" x14ac:dyDescent="0.2">
      <c r="A133">
        <v>30</v>
      </c>
      <c r="B133">
        <v>8</v>
      </c>
      <c r="C133">
        <v>10</v>
      </c>
      <c r="D133">
        <v>2</v>
      </c>
    </row>
    <row r="134" spans="1:4" x14ac:dyDescent="0.2">
      <c r="A134">
        <v>30</v>
      </c>
      <c r="B134">
        <v>18</v>
      </c>
      <c r="C134">
        <v>20</v>
      </c>
      <c r="D134">
        <v>2</v>
      </c>
    </row>
    <row r="135" spans="1:4" x14ac:dyDescent="0.2">
      <c r="A135">
        <v>30</v>
      </c>
      <c r="B135">
        <v>22</v>
      </c>
      <c r="C135">
        <v>23</v>
      </c>
      <c r="D135">
        <v>1</v>
      </c>
    </row>
    <row r="136" spans="1:4" x14ac:dyDescent="0.2">
      <c r="A136">
        <v>31</v>
      </c>
      <c r="B136">
        <v>1</v>
      </c>
      <c r="C136">
        <v>6</v>
      </c>
      <c r="D136">
        <v>5</v>
      </c>
    </row>
    <row r="137" spans="1:4" x14ac:dyDescent="0.2">
      <c r="A137">
        <v>31</v>
      </c>
      <c r="B137">
        <v>12</v>
      </c>
      <c r="C137">
        <v>13</v>
      </c>
      <c r="D137">
        <v>1</v>
      </c>
    </row>
    <row r="138" spans="1:4" x14ac:dyDescent="0.2">
      <c r="A138">
        <v>31</v>
      </c>
      <c r="B138">
        <v>17</v>
      </c>
      <c r="C138">
        <v>18</v>
      </c>
      <c r="D138">
        <v>1</v>
      </c>
    </row>
    <row r="139" spans="1:4" x14ac:dyDescent="0.2">
      <c r="A139">
        <v>31</v>
      </c>
      <c r="B139">
        <v>20</v>
      </c>
      <c r="C139">
        <v>23</v>
      </c>
      <c r="D139">
        <v>3</v>
      </c>
    </row>
    <row r="140" spans="1:4" x14ac:dyDescent="0.2">
      <c r="A140">
        <v>32</v>
      </c>
      <c r="B140">
        <v>1</v>
      </c>
      <c r="C140">
        <v>6</v>
      </c>
      <c r="D140">
        <v>5</v>
      </c>
    </row>
    <row r="141" spans="1:4" x14ac:dyDescent="0.2">
      <c r="A141">
        <v>32</v>
      </c>
      <c r="B141">
        <v>8</v>
      </c>
      <c r="C141">
        <v>9</v>
      </c>
      <c r="D141">
        <v>1</v>
      </c>
    </row>
    <row r="142" spans="1:4" x14ac:dyDescent="0.2">
      <c r="A142">
        <v>32</v>
      </c>
      <c r="B142">
        <v>16</v>
      </c>
      <c r="C142">
        <v>18</v>
      </c>
      <c r="D142">
        <v>2</v>
      </c>
    </row>
    <row r="143" spans="1:4" x14ac:dyDescent="0.2">
      <c r="A143">
        <v>32</v>
      </c>
      <c r="B143">
        <v>20</v>
      </c>
      <c r="C143">
        <v>22</v>
      </c>
      <c r="D143">
        <v>2</v>
      </c>
    </row>
    <row r="144" spans="1:4" x14ac:dyDescent="0.2">
      <c r="A144">
        <v>33</v>
      </c>
      <c r="B144">
        <v>1</v>
      </c>
      <c r="C144">
        <v>6</v>
      </c>
      <c r="D144">
        <v>5</v>
      </c>
    </row>
    <row r="145" spans="1:4" x14ac:dyDescent="0.2">
      <c r="A145">
        <v>33</v>
      </c>
      <c r="B145">
        <v>9</v>
      </c>
      <c r="C145">
        <v>11</v>
      </c>
      <c r="D145">
        <v>2</v>
      </c>
    </row>
    <row r="146" spans="1:4" x14ac:dyDescent="0.2">
      <c r="A146">
        <v>33</v>
      </c>
      <c r="B146">
        <v>18</v>
      </c>
      <c r="C146">
        <v>21</v>
      </c>
      <c r="D146">
        <v>3</v>
      </c>
    </row>
    <row r="147" spans="1:4" x14ac:dyDescent="0.2">
      <c r="A147">
        <v>34</v>
      </c>
      <c r="B147">
        <v>1</v>
      </c>
      <c r="C147">
        <v>6</v>
      </c>
      <c r="D147">
        <v>5</v>
      </c>
    </row>
    <row r="148" spans="1:4" x14ac:dyDescent="0.2">
      <c r="A148">
        <v>34</v>
      </c>
      <c r="B148">
        <v>9</v>
      </c>
      <c r="C148">
        <v>10</v>
      </c>
      <c r="D148">
        <v>1</v>
      </c>
    </row>
    <row r="149" spans="1:4" x14ac:dyDescent="0.2">
      <c r="A149">
        <v>34</v>
      </c>
      <c r="B149">
        <v>11</v>
      </c>
      <c r="C149">
        <v>12</v>
      </c>
      <c r="D149">
        <v>1</v>
      </c>
    </row>
    <row r="150" spans="1:4" x14ac:dyDescent="0.2">
      <c r="A150">
        <v>34</v>
      </c>
      <c r="B150">
        <v>16</v>
      </c>
      <c r="C150">
        <v>20</v>
      </c>
      <c r="D150">
        <v>4</v>
      </c>
    </row>
    <row r="151" spans="1:4" x14ac:dyDescent="0.2">
      <c r="A151">
        <v>35</v>
      </c>
      <c r="B151">
        <v>1</v>
      </c>
      <c r="C151">
        <v>7</v>
      </c>
      <c r="D151">
        <v>6</v>
      </c>
    </row>
    <row r="152" spans="1:4" x14ac:dyDescent="0.2">
      <c r="A152">
        <v>35</v>
      </c>
      <c r="B152">
        <v>8</v>
      </c>
      <c r="C152">
        <v>11</v>
      </c>
      <c r="D152">
        <v>3</v>
      </c>
    </row>
    <row r="153" spans="1:4" x14ac:dyDescent="0.2">
      <c r="A153">
        <v>35</v>
      </c>
      <c r="B153">
        <v>13</v>
      </c>
      <c r="C153">
        <v>14</v>
      </c>
      <c r="D153">
        <v>1</v>
      </c>
    </row>
    <row r="154" spans="1:4" x14ac:dyDescent="0.2">
      <c r="A154">
        <v>35</v>
      </c>
      <c r="B154">
        <v>17</v>
      </c>
      <c r="C154">
        <v>19</v>
      </c>
      <c r="D154">
        <v>2</v>
      </c>
    </row>
    <row r="155" spans="1:4" x14ac:dyDescent="0.2">
      <c r="A155">
        <v>35</v>
      </c>
      <c r="B155">
        <v>20</v>
      </c>
      <c r="C155">
        <v>21</v>
      </c>
      <c r="D155">
        <v>1</v>
      </c>
    </row>
    <row r="156" spans="1:4" x14ac:dyDescent="0.2">
      <c r="A156">
        <v>36</v>
      </c>
      <c r="B156">
        <v>1</v>
      </c>
      <c r="C156">
        <v>6</v>
      </c>
      <c r="D156">
        <v>5</v>
      </c>
    </row>
    <row r="157" spans="1:4" x14ac:dyDescent="0.2">
      <c r="A157">
        <v>36</v>
      </c>
      <c r="B157">
        <v>8</v>
      </c>
      <c r="C157">
        <v>10</v>
      </c>
      <c r="D157">
        <v>2</v>
      </c>
    </row>
    <row r="158" spans="1:4" x14ac:dyDescent="0.2">
      <c r="A158">
        <v>36</v>
      </c>
      <c r="B158">
        <v>11</v>
      </c>
      <c r="C158">
        <v>12</v>
      </c>
      <c r="D158">
        <v>1</v>
      </c>
    </row>
    <row r="159" spans="1:4" x14ac:dyDescent="0.2">
      <c r="A159">
        <v>36</v>
      </c>
      <c r="B159">
        <v>13</v>
      </c>
      <c r="C159">
        <v>14</v>
      </c>
      <c r="D159">
        <v>1</v>
      </c>
    </row>
    <row r="160" spans="1:4" x14ac:dyDescent="0.2">
      <c r="A160">
        <v>36</v>
      </c>
      <c r="B160">
        <v>18</v>
      </c>
      <c r="C160">
        <v>22</v>
      </c>
      <c r="D160">
        <v>4</v>
      </c>
    </row>
    <row r="161" spans="1:4" x14ac:dyDescent="0.2">
      <c r="A161">
        <v>37</v>
      </c>
      <c r="B161">
        <v>1</v>
      </c>
      <c r="C161">
        <v>7</v>
      </c>
      <c r="D161">
        <v>6</v>
      </c>
    </row>
    <row r="162" spans="1:4" x14ac:dyDescent="0.2">
      <c r="A162">
        <v>37</v>
      </c>
      <c r="B162">
        <v>8</v>
      </c>
      <c r="C162">
        <v>12</v>
      </c>
      <c r="D162">
        <v>4</v>
      </c>
    </row>
    <row r="163" spans="1:4" x14ac:dyDescent="0.2">
      <c r="A163">
        <v>37</v>
      </c>
      <c r="B163">
        <v>13</v>
      </c>
      <c r="C163">
        <v>14</v>
      </c>
      <c r="D163">
        <v>1</v>
      </c>
    </row>
    <row r="164" spans="1:4" x14ac:dyDescent="0.2">
      <c r="A164">
        <v>37</v>
      </c>
      <c r="B164">
        <v>19</v>
      </c>
      <c r="C164">
        <v>21</v>
      </c>
      <c r="D164">
        <v>2</v>
      </c>
    </row>
    <row r="165" spans="1:4" x14ac:dyDescent="0.2">
      <c r="A165">
        <v>38</v>
      </c>
      <c r="B165">
        <v>1</v>
      </c>
      <c r="C165">
        <v>6</v>
      </c>
      <c r="D165">
        <v>5</v>
      </c>
    </row>
    <row r="166" spans="1:4" x14ac:dyDescent="0.2">
      <c r="A166">
        <v>38</v>
      </c>
      <c r="B166">
        <v>9</v>
      </c>
      <c r="C166">
        <v>11</v>
      </c>
      <c r="D166">
        <v>2</v>
      </c>
    </row>
    <row r="167" spans="1:4" x14ac:dyDescent="0.2">
      <c r="A167">
        <v>38</v>
      </c>
      <c r="B167">
        <v>13</v>
      </c>
      <c r="C167">
        <v>14</v>
      </c>
      <c r="D167">
        <v>1</v>
      </c>
    </row>
    <row r="168" spans="1:4" x14ac:dyDescent="0.2">
      <c r="A168">
        <v>38</v>
      </c>
      <c r="B168">
        <v>17</v>
      </c>
      <c r="C168">
        <v>21</v>
      </c>
      <c r="D168">
        <v>4</v>
      </c>
    </row>
    <row r="169" spans="1:4" x14ac:dyDescent="0.2">
      <c r="A169">
        <v>39</v>
      </c>
      <c r="B169">
        <v>1</v>
      </c>
      <c r="C169">
        <v>6</v>
      </c>
      <c r="D169">
        <v>5</v>
      </c>
    </row>
    <row r="170" spans="1:4" x14ac:dyDescent="0.2">
      <c r="A170">
        <v>39</v>
      </c>
      <c r="B170">
        <v>18</v>
      </c>
      <c r="C170">
        <v>20</v>
      </c>
      <c r="D170">
        <v>2</v>
      </c>
    </row>
    <row r="171" spans="1:4" x14ac:dyDescent="0.2">
      <c r="A171">
        <v>40</v>
      </c>
      <c r="B171">
        <v>1</v>
      </c>
      <c r="C171">
        <v>6</v>
      </c>
      <c r="D171">
        <v>5</v>
      </c>
    </row>
    <row r="172" spans="1:4" x14ac:dyDescent="0.2">
      <c r="A172">
        <v>40</v>
      </c>
      <c r="B172">
        <v>8</v>
      </c>
      <c r="C172">
        <v>10</v>
      </c>
      <c r="D172">
        <v>2</v>
      </c>
    </row>
    <row r="173" spans="1:4" x14ac:dyDescent="0.2">
      <c r="A173">
        <v>41</v>
      </c>
      <c r="B173">
        <v>1</v>
      </c>
      <c r="C173">
        <v>6</v>
      </c>
      <c r="D173">
        <v>5</v>
      </c>
    </row>
    <row r="174" spans="1:4" x14ac:dyDescent="0.2">
      <c r="A174">
        <v>41</v>
      </c>
      <c r="B174">
        <v>8</v>
      </c>
      <c r="C174">
        <v>9</v>
      </c>
      <c r="D174">
        <v>1</v>
      </c>
    </row>
    <row r="175" spans="1:4" x14ac:dyDescent="0.2">
      <c r="A175">
        <v>41</v>
      </c>
      <c r="B175">
        <v>13</v>
      </c>
      <c r="C175">
        <v>14</v>
      </c>
      <c r="D175">
        <v>1</v>
      </c>
    </row>
    <row r="176" spans="1:4" x14ac:dyDescent="0.2">
      <c r="A176">
        <v>41</v>
      </c>
      <c r="B176">
        <v>18</v>
      </c>
      <c r="C176">
        <v>21</v>
      </c>
      <c r="D176">
        <v>3</v>
      </c>
    </row>
    <row r="177" spans="1:4" x14ac:dyDescent="0.2">
      <c r="A177">
        <v>41</v>
      </c>
      <c r="B177">
        <v>22</v>
      </c>
      <c r="C177">
        <v>23</v>
      </c>
      <c r="D177">
        <v>1</v>
      </c>
    </row>
    <row r="178" spans="1:4" x14ac:dyDescent="0.2">
      <c r="A178">
        <v>42</v>
      </c>
      <c r="B178">
        <v>1</v>
      </c>
      <c r="C178">
        <v>6</v>
      </c>
      <c r="D178">
        <v>5</v>
      </c>
    </row>
    <row r="179" spans="1:4" x14ac:dyDescent="0.2">
      <c r="A179">
        <v>42</v>
      </c>
      <c r="B179">
        <v>9</v>
      </c>
      <c r="C179">
        <v>10</v>
      </c>
      <c r="D179">
        <v>1</v>
      </c>
    </row>
    <row r="180" spans="1:4" x14ac:dyDescent="0.2">
      <c r="A180">
        <v>42</v>
      </c>
      <c r="B180">
        <v>17</v>
      </c>
      <c r="C180">
        <v>18</v>
      </c>
      <c r="D180">
        <v>1</v>
      </c>
    </row>
    <row r="181" spans="1:4" x14ac:dyDescent="0.2">
      <c r="A181">
        <v>42</v>
      </c>
      <c r="B181">
        <v>19</v>
      </c>
      <c r="C181">
        <v>21</v>
      </c>
      <c r="D181">
        <v>2</v>
      </c>
    </row>
    <row r="182" spans="1:4" x14ac:dyDescent="0.2">
      <c r="A182">
        <v>42</v>
      </c>
      <c r="B182">
        <v>22</v>
      </c>
      <c r="C182">
        <v>23</v>
      </c>
      <c r="D182">
        <v>1</v>
      </c>
    </row>
    <row r="183" spans="1:4" x14ac:dyDescent="0.2">
      <c r="A183">
        <v>43</v>
      </c>
      <c r="B183">
        <v>1</v>
      </c>
      <c r="C183">
        <v>6</v>
      </c>
      <c r="D183">
        <v>5</v>
      </c>
    </row>
    <row r="184" spans="1:4" x14ac:dyDescent="0.2">
      <c r="A184">
        <v>43</v>
      </c>
      <c r="B184">
        <v>8</v>
      </c>
      <c r="C184">
        <v>10</v>
      </c>
      <c r="D184">
        <v>2</v>
      </c>
    </row>
    <row r="185" spans="1:4" x14ac:dyDescent="0.2">
      <c r="A185">
        <v>43</v>
      </c>
      <c r="B185">
        <v>17</v>
      </c>
      <c r="C185">
        <v>20</v>
      </c>
      <c r="D185">
        <v>3</v>
      </c>
    </row>
    <row r="186" spans="1:4" x14ac:dyDescent="0.2">
      <c r="A186">
        <v>43</v>
      </c>
      <c r="B186">
        <v>21</v>
      </c>
      <c r="C186">
        <v>23</v>
      </c>
      <c r="D18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2">
      <c r="A2">
        <v>1</v>
      </c>
      <c r="B2">
        <v>15</v>
      </c>
      <c r="C2">
        <v>6</v>
      </c>
      <c r="D2">
        <v>1</v>
      </c>
      <c r="E2">
        <v>22</v>
      </c>
      <c r="F2">
        <v>68.181818181818187</v>
      </c>
      <c r="G2">
        <v>27.27272727272727</v>
      </c>
      <c r="H2">
        <v>4.5454545454545459</v>
      </c>
    </row>
    <row r="3" spans="1:8" x14ac:dyDescent="0.2">
      <c r="A3">
        <v>2</v>
      </c>
      <c r="B3">
        <v>13</v>
      </c>
      <c r="C3">
        <v>4</v>
      </c>
      <c r="D3">
        <v>2</v>
      </c>
      <c r="E3">
        <v>19</v>
      </c>
      <c r="F3">
        <v>68.421052631578945</v>
      </c>
      <c r="G3">
        <v>21.05263157894737</v>
      </c>
      <c r="H3">
        <v>10.52631578947368</v>
      </c>
    </row>
    <row r="4" spans="1:8" x14ac:dyDescent="0.2">
      <c r="A4">
        <v>3</v>
      </c>
      <c r="B4">
        <v>11</v>
      </c>
      <c r="C4">
        <v>6</v>
      </c>
      <c r="D4">
        <v>4</v>
      </c>
      <c r="E4">
        <v>21</v>
      </c>
      <c r="F4">
        <v>52.38095238095238</v>
      </c>
      <c r="G4">
        <v>28.571428571428569</v>
      </c>
      <c r="H4">
        <v>19.047619047619051</v>
      </c>
    </row>
    <row r="5" spans="1:8" x14ac:dyDescent="0.2">
      <c r="A5">
        <v>4</v>
      </c>
      <c r="B5">
        <v>12</v>
      </c>
      <c r="C5">
        <v>5</v>
      </c>
      <c r="D5">
        <v>2</v>
      </c>
      <c r="E5">
        <v>19</v>
      </c>
      <c r="F5">
        <v>63.157894736842103</v>
      </c>
      <c r="G5">
        <v>26.315789473684209</v>
      </c>
      <c r="H5">
        <v>10.52631578947368</v>
      </c>
    </row>
    <row r="6" spans="1:8" x14ac:dyDescent="0.2">
      <c r="A6">
        <v>5</v>
      </c>
      <c r="B6">
        <v>10</v>
      </c>
      <c r="C6">
        <v>5</v>
      </c>
      <c r="D6">
        <v>0</v>
      </c>
      <c r="E6">
        <v>15</v>
      </c>
      <c r="F6">
        <v>66.666666666666671</v>
      </c>
      <c r="G6">
        <v>33.333333333333343</v>
      </c>
      <c r="H6">
        <v>0</v>
      </c>
    </row>
    <row r="7" spans="1:8" x14ac:dyDescent="0.2">
      <c r="A7">
        <v>6</v>
      </c>
      <c r="B7">
        <v>14</v>
      </c>
      <c r="C7">
        <v>6</v>
      </c>
      <c r="D7">
        <v>2</v>
      </c>
      <c r="E7">
        <v>22</v>
      </c>
      <c r="F7">
        <v>63.636363636363633</v>
      </c>
      <c r="G7">
        <v>27.27272727272727</v>
      </c>
      <c r="H7">
        <v>9.0909090909090917</v>
      </c>
    </row>
    <row r="8" spans="1:8" x14ac:dyDescent="0.2">
      <c r="A8">
        <v>7</v>
      </c>
      <c r="B8">
        <v>13</v>
      </c>
      <c r="C8">
        <v>7</v>
      </c>
      <c r="D8">
        <v>2</v>
      </c>
      <c r="E8">
        <v>22</v>
      </c>
      <c r="F8">
        <v>59.090909090909093</v>
      </c>
      <c r="G8">
        <v>31.81818181818182</v>
      </c>
      <c r="H8">
        <v>9.0909090909090917</v>
      </c>
    </row>
    <row r="9" spans="1:8" x14ac:dyDescent="0.2">
      <c r="A9">
        <v>8</v>
      </c>
      <c r="B9">
        <v>12</v>
      </c>
      <c r="C9">
        <v>4</v>
      </c>
      <c r="D9">
        <v>3</v>
      </c>
      <c r="E9">
        <v>19</v>
      </c>
      <c r="F9">
        <v>63.157894736842103</v>
      </c>
      <c r="G9">
        <v>21.05263157894737</v>
      </c>
      <c r="H9">
        <v>15.789473684210529</v>
      </c>
    </row>
    <row r="10" spans="1:8" x14ac:dyDescent="0.2">
      <c r="A10">
        <v>9</v>
      </c>
      <c r="B10">
        <v>13</v>
      </c>
      <c r="C10">
        <v>5</v>
      </c>
      <c r="D10">
        <v>1</v>
      </c>
      <c r="E10">
        <v>19</v>
      </c>
      <c r="F10">
        <v>68.421052631578945</v>
      </c>
      <c r="G10">
        <v>26.315789473684209</v>
      </c>
      <c r="H10">
        <v>5.2631578947368416</v>
      </c>
    </row>
    <row r="11" spans="1:8" x14ac:dyDescent="0.2">
      <c r="A11">
        <v>10</v>
      </c>
      <c r="B11">
        <v>11</v>
      </c>
      <c r="C11">
        <v>6</v>
      </c>
      <c r="D11">
        <v>2</v>
      </c>
      <c r="E11">
        <v>19</v>
      </c>
      <c r="F11">
        <v>57.89473684210526</v>
      </c>
      <c r="G11">
        <v>31.578947368421051</v>
      </c>
      <c r="H11">
        <v>10.52631578947368</v>
      </c>
    </row>
    <row r="12" spans="1:8" x14ac:dyDescent="0.2">
      <c r="A12">
        <v>11</v>
      </c>
      <c r="B12">
        <v>13</v>
      </c>
      <c r="C12">
        <v>5</v>
      </c>
      <c r="D12">
        <v>1</v>
      </c>
      <c r="E12">
        <v>19</v>
      </c>
      <c r="F12">
        <v>68.421052631578945</v>
      </c>
      <c r="G12">
        <v>26.315789473684209</v>
      </c>
      <c r="H12">
        <v>5.2631578947368416</v>
      </c>
    </row>
    <row r="13" spans="1:8" x14ac:dyDescent="0.2">
      <c r="A13">
        <v>12</v>
      </c>
      <c r="B13">
        <v>12</v>
      </c>
      <c r="C13">
        <v>5</v>
      </c>
      <c r="D13">
        <v>2</v>
      </c>
      <c r="E13">
        <v>19</v>
      </c>
      <c r="F13">
        <v>63.157894736842103</v>
      </c>
      <c r="G13">
        <v>26.315789473684209</v>
      </c>
      <c r="H13">
        <v>10.52631578947368</v>
      </c>
    </row>
    <row r="14" spans="1:8" x14ac:dyDescent="0.2">
      <c r="A14">
        <v>13</v>
      </c>
      <c r="B14">
        <v>13</v>
      </c>
      <c r="C14">
        <v>4</v>
      </c>
      <c r="D14">
        <v>5</v>
      </c>
      <c r="E14">
        <v>22</v>
      </c>
      <c r="F14">
        <v>59.090909090909093</v>
      </c>
      <c r="G14">
        <v>18.18181818181818</v>
      </c>
      <c r="H14">
        <v>22.72727272727273</v>
      </c>
    </row>
    <row r="15" spans="1:8" x14ac:dyDescent="0.2">
      <c r="A15">
        <v>14</v>
      </c>
      <c r="B15">
        <v>12</v>
      </c>
      <c r="C15">
        <v>4</v>
      </c>
      <c r="D15">
        <v>4</v>
      </c>
      <c r="E15">
        <v>20</v>
      </c>
      <c r="F15">
        <v>60</v>
      </c>
      <c r="G15">
        <v>20</v>
      </c>
      <c r="H15">
        <v>20</v>
      </c>
    </row>
    <row r="16" spans="1:8" x14ac:dyDescent="0.2">
      <c r="A16">
        <v>15</v>
      </c>
      <c r="B16">
        <v>14</v>
      </c>
      <c r="C16">
        <v>5</v>
      </c>
      <c r="D16">
        <v>2</v>
      </c>
      <c r="E16">
        <v>21</v>
      </c>
      <c r="F16">
        <v>66.666666666666671</v>
      </c>
      <c r="G16">
        <v>23.80952380952381</v>
      </c>
      <c r="H16">
        <v>9.5238095238095237</v>
      </c>
    </row>
    <row r="17" spans="1:8" x14ac:dyDescent="0.2">
      <c r="A17">
        <v>16</v>
      </c>
      <c r="B17">
        <v>13</v>
      </c>
      <c r="C17">
        <v>5</v>
      </c>
      <c r="D17">
        <v>3</v>
      </c>
      <c r="E17">
        <v>21</v>
      </c>
      <c r="F17">
        <v>61.904761904761912</v>
      </c>
      <c r="G17">
        <v>23.80952380952381</v>
      </c>
      <c r="H17">
        <v>14.28571428571429</v>
      </c>
    </row>
    <row r="18" spans="1:8" x14ac:dyDescent="0.2">
      <c r="A18">
        <v>17</v>
      </c>
      <c r="B18">
        <v>13</v>
      </c>
      <c r="C18">
        <v>5</v>
      </c>
      <c r="D18">
        <v>2</v>
      </c>
      <c r="E18">
        <v>20</v>
      </c>
      <c r="F18">
        <v>65</v>
      </c>
      <c r="G18">
        <v>25</v>
      </c>
      <c r="H18">
        <v>10</v>
      </c>
    </row>
    <row r="19" spans="1:8" x14ac:dyDescent="0.2">
      <c r="A19">
        <v>18</v>
      </c>
      <c r="B19">
        <v>12</v>
      </c>
      <c r="C19">
        <v>8</v>
      </c>
      <c r="D19">
        <v>2</v>
      </c>
      <c r="E19">
        <v>22</v>
      </c>
      <c r="F19">
        <v>54.545454545454547</v>
      </c>
      <c r="G19">
        <v>36.363636363636367</v>
      </c>
      <c r="H19">
        <v>9.0909090909090917</v>
      </c>
    </row>
    <row r="20" spans="1:8" x14ac:dyDescent="0.2">
      <c r="A20">
        <v>19</v>
      </c>
      <c r="B20">
        <v>13</v>
      </c>
      <c r="C20">
        <v>6</v>
      </c>
      <c r="D20">
        <v>1</v>
      </c>
      <c r="E20">
        <v>20</v>
      </c>
      <c r="F20">
        <v>65</v>
      </c>
      <c r="G20">
        <v>30</v>
      </c>
      <c r="H20">
        <v>5</v>
      </c>
    </row>
    <row r="21" spans="1:8" x14ac:dyDescent="0.2">
      <c r="A21">
        <v>20</v>
      </c>
      <c r="B21">
        <v>11</v>
      </c>
      <c r="C21">
        <v>4</v>
      </c>
      <c r="D21">
        <v>2</v>
      </c>
      <c r="E21">
        <v>17</v>
      </c>
      <c r="F21">
        <v>64.705882352941174</v>
      </c>
      <c r="G21">
        <v>23.52941176470588</v>
      </c>
      <c r="H21">
        <v>11.76470588235294</v>
      </c>
    </row>
    <row r="22" spans="1:8" x14ac:dyDescent="0.2">
      <c r="A22">
        <v>21</v>
      </c>
      <c r="B22">
        <v>11</v>
      </c>
      <c r="C22">
        <v>4</v>
      </c>
      <c r="D22">
        <v>1</v>
      </c>
      <c r="E22">
        <v>16</v>
      </c>
      <c r="F22">
        <v>68.75</v>
      </c>
      <c r="G22">
        <v>25</v>
      </c>
      <c r="H22">
        <v>6.25</v>
      </c>
    </row>
    <row r="23" spans="1:8" x14ac:dyDescent="0.2">
      <c r="A23">
        <v>22</v>
      </c>
      <c r="B23">
        <v>11</v>
      </c>
      <c r="C23">
        <v>5</v>
      </c>
      <c r="D23">
        <v>4</v>
      </c>
      <c r="E23">
        <v>20</v>
      </c>
      <c r="F23">
        <v>55</v>
      </c>
      <c r="G23">
        <v>25</v>
      </c>
      <c r="H23">
        <v>20</v>
      </c>
    </row>
    <row r="24" spans="1:8" x14ac:dyDescent="0.2">
      <c r="A24">
        <v>23</v>
      </c>
      <c r="B24">
        <v>13</v>
      </c>
      <c r="C24">
        <v>6</v>
      </c>
      <c r="D24">
        <v>3</v>
      </c>
      <c r="E24">
        <v>22</v>
      </c>
      <c r="F24">
        <v>59.090909090909093</v>
      </c>
      <c r="G24">
        <v>27.27272727272727</v>
      </c>
      <c r="H24">
        <v>13.63636363636364</v>
      </c>
    </row>
    <row r="25" spans="1:8" x14ac:dyDescent="0.2">
      <c r="A25">
        <v>24</v>
      </c>
      <c r="B25">
        <v>13</v>
      </c>
      <c r="C25">
        <v>5</v>
      </c>
      <c r="D25">
        <v>2</v>
      </c>
      <c r="E25">
        <v>20</v>
      </c>
      <c r="F25">
        <v>65</v>
      </c>
      <c r="G25">
        <v>25</v>
      </c>
      <c r="H25">
        <v>10</v>
      </c>
    </row>
    <row r="26" spans="1:8" x14ac:dyDescent="0.2">
      <c r="A26">
        <v>25</v>
      </c>
      <c r="B26">
        <v>13</v>
      </c>
      <c r="C26">
        <v>5</v>
      </c>
      <c r="D26">
        <v>2</v>
      </c>
      <c r="E26">
        <v>20</v>
      </c>
      <c r="F26">
        <v>65</v>
      </c>
      <c r="G26">
        <v>25</v>
      </c>
      <c r="H26">
        <v>10</v>
      </c>
    </row>
    <row r="27" spans="1:8" x14ac:dyDescent="0.2">
      <c r="A27">
        <v>26</v>
      </c>
      <c r="B27">
        <v>11</v>
      </c>
      <c r="C27">
        <v>5</v>
      </c>
      <c r="D27">
        <v>0</v>
      </c>
      <c r="E27">
        <v>16</v>
      </c>
      <c r="F27">
        <v>68.75</v>
      </c>
      <c r="G27">
        <v>31.25</v>
      </c>
      <c r="H27">
        <v>0</v>
      </c>
    </row>
    <row r="28" spans="1:8" x14ac:dyDescent="0.2">
      <c r="A28">
        <v>27</v>
      </c>
      <c r="B28">
        <v>12</v>
      </c>
      <c r="C28">
        <v>8</v>
      </c>
      <c r="D28">
        <v>1</v>
      </c>
      <c r="E28">
        <v>21</v>
      </c>
      <c r="F28">
        <v>57.142857142857153</v>
      </c>
      <c r="G28">
        <v>38.095238095238088</v>
      </c>
      <c r="H28">
        <v>4.7619047619047619</v>
      </c>
    </row>
    <row r="29" spans="1:8" x14ac:dyDescent="0.2">
      <c r="A29">
        <v>28</v>
      </c>
      <c r="B29">
        <v>12</v>
      </c>
      <c r="C29">
        <v>5</v>
      </c>
      <c r="D29">
        <v>3</v>
      </c>
      <c r="E29">
        <v>20</v>
      </c>
      <c r="F29">
        <v>60</v>
      </c>
      <c r="G29">
        <v>25</v>
      </c>
      <c r="H29">
        <v>15</v>
      </c>
    </row>
    <row r="30" spans="1:8" x14ac:dyDescent="0.2">
      <c r="A30">
        <v>29</v>
      </c>
      <c r="B30">
        <v>13</v>
      </c>
      <c r="C30">
        <v>6</v>
      </c>
      <c r="D30">
        <v>2</v>
      </c>
      <c r="E30">
        <v>21</v>
      </c>
      <c r="F30">
        <v>61.904761904761912</v>
      </c>
      <c r="G30">
        <v>28.571428571428569</v>
      </c>
      <c r="H30">
        <v>9.5238095238095237</v>
      </c>
    </row>
    <row r="31" spans="1:8" x14ac:dyDescent="0.2">
      <c r="A31">
        <v>30</v>
      </c>
      <c r="B31">
        <v>11</v>
      </c>
      <c r="C31">
        <v>5</v>
      </c>
      <c r="D31">
        <v>3</v>
      </c>
      <c r="E31">
        <v>19</v>
      </c>
      <c r="F31">
        <v>57.89473684210526</v>
      </c>
      <c r="G31">
        <v>26.315789473684209</v>
      </c>
      <c r="H31">
        <v>15.789473684210529</v>
      </c>
    </row>
    <row r="32" spans="1:8" x14ac:dyDescent="0.2">
      <c r="A32">
        <v>31</v>
      </c>
      <c r="B32">
        <v>10</v>
      </c>
      <c r="C32">
        <v>3</v>
      </c>
      <c r="D32">
        <v>0</v>
      </c>
      <c r="E32">
        <v>13</v>
      </c>
      <c r="F32">
        <v>76.92307692307692</v>
      </c>
      <c r="G32">
        <v>23.07692307692308</v>
      </c>
      <c r="H32">
        <v>0</v>
      </c>
    </row>
    <row r="33" spans="1:8" x14ac:dyDescent="0.2">
      <c r="A33">
        <v>32</v>
      </c>
      <c r="B33">
        <v>12</v>
      </c>
      <c r="C33">
        <v>4</v>
      </c>
      <c r="D33">
        <v>2</v>
      </c>
      <c r="E33">
        <v>18</v>
      </c>
      <c r="F33">
        <v>66.666666666666671</v>
      </c>
      <c r="G33">
        <v>22.222222222222221</v>
      </c>
      <c r="H33">
        <v>11.111111111111111</v>
      </c>
    </row>
    <row r="34" spans="1:8" x14ac:dyDescent="0.2">
      <c r="A34">
        <v>33</v>
      </c>
      <c r="B34">
        <v>11</v>
      </c>
      <c r="C34">
        <v>4</v>
      </c>
      <c r="D34">
        <v>4</v>
      </c>
      <c r="E34">
        <v>19</v>
      </c>
      <c r="F34">
        <v>57.89473684210526</v>
      </c>
      <c r="G34">
        <v>21.05263157894737</v>
      </c>
      <c r="H34">
        <v>21.05263157894737</v>
      </c>
    </row>
    <row r="35" spans="1:8" x14ac:dyDescent="0.2">
      <c r="A35">
        <v>34</v>
      </c>
      <c r="B35">
        <v>12</v>
      </c>
      <c r="C35">
        <v>5</v>
      </c>
      <c r="D35">
        <v>2</v>
      </c>
      <c r="E35">
        <v>19</v>
      </c>
      <c r="F35">
        <v>63.157894736842103</v>
      </c>
      <c r="G35">
        <v>26.315789473684209</v>
      </c>
      <c r="H35">
        <v>10.52631578947368</v>
      </c>
    </row>
    <row r="36" spans="1:8" x14ac:dyDescent="0.2">
      <c r="A36">
        <v>35</v>
      </c>
      <c r="B36">
        <v>11</v>
      </c>
      <c r="C36">
        <v>4</v>
      </c>
      <c r="D36">
        <v>3</v>
      </c>
      <c r="E36">
        <v>18</v>
      </c>
      <c r="F36">
        <v>61.111111111111107</v>
      </c>
      <c r="G36">
        <v>22.222222222222221</v>
      </c>
      <c r="H36">
        <v>16.666666666666671</v>
      </c>
    </row>
    <row r="37" spans="1:8" x14ac:dyDescent="0.2">
      <c r="A37">
        <v>36</v>
      </c>
      <c r="B37">
        <v>12</v>
      </c>
      <c r="C37">
        <v>5</v>
      </c>
      <c r="D37">
        <v>1</v>
      </c>
      <c r="E37">
        <v>18</v>
      </c>
      <c r="F37">
        <v>66.666666666666671</v>
      </c>
      <c r="G37">
        <v>27.777777777777779</v>
      </c>
      <c r="H37">
        <v>5.5555555555555554</v>
      </c>
    </row>
    <row r="38" spans="1:8" x14ac:dyDescent="0.2">
      <c r="A38">
        <v>37</v>
      </c>
      <c r="B38">
        <v>14</v>
      </c>
      <c r="C38">
        <v>5</v>
      </c>
      <c r="D38">
        <v>2</v>
      </c>
      <c r="E38">
        <v>21</v>
      </c>
      <c r="F38">
        <v>66.666666666666671</v>
      </c>
      <c r="G38">
        <v>23.80952380952381</v>
      </c>
      <c r="H38">
        <v>9.5238095238095237</v>
      </c>
    </row>
    <row r="39" spans="1:8" x14ac:dyDescent="0.2">
      <c r="A39">
        <v>38</v>
      </c>
      <c r="B39">
        <v>12</v>
      </c>
      <c r="C39">
        <v>4</v>
      </c>
      <c r="D39">
        <v>2</v>
      </c>
      <c r="E39">
        <v>18</v>
      </c>
      <c r="F39">
        <v>66.666666666666671</v>
      </c>
      <c r="G39">
        <v>22.222222222222221</v>
      </c>
      <c r="H39">
        <v>11.111111111111111</v>
      </c>
    </row>
    <row r="40" spans="1:8" x14ac:dyDescent="0.2">
      <c r="A40">
        <v>39</v>
      </c>
      <c r="B40">
        <v>13</v>
      </c>
      <c r="C40">
        <v>4</v>
      </c>
      <c r="D40">
        <v>2</v>
      </c>
      <c r="E40">
        <v>19</v>
      </c>
      <c r="F40">
        <v>68.421052631578945</v>
      </c>
      <c r="G40">
        <v>21.05263157894737</v>
      </c>
      <c r="H40">
        <v>10.52631578947368</v>
      </c>
    </row>
    <row r="41" spans="1:8" x14ac:dyDescent="0.2">
      <c r="A41">
        <v>40</v>
      </c>
      <c r="B41">
        <v>12</v>
      </c>
      <c r="C41">
        <v>5</v>
      </c>
      <c r="D41">
        <v>1</v>
      </c>
      <c r="E41">
        <v>18</v>
      </c>
      <c r="F41">
        <v>66.666666666666671</v>
      </c>
      <c r="G41">
        <v>27.777777777777779</v>
      </c>
      <c r="H41">
        <v>5.5555555555555554</v>
      </c>
    </row>
    <row r="42" spans="1:8" x14ac:dyDescent="0.2">
      <c r="A42">
        <v>41</v>
      </c>
      <c r="B42">
        <v>12</v>
      </c>
      <c r="C42">
        <v>4</v>
      </c>
      <c r="D42">
        <v>2</v>
      </c>
      <c r="E42">
        <v>18</v>
      </c>
      <c r="F42">
        <v>66.666666666666671</v>
      </c>
      <c r="G42">
        <v>22.222222222222221</v>
      </c>
      <c r="H42">
        <v>11.111111111111111</v>
      </c>
    </row>
    <row r="43" spans="1:8" x14ac:dyDescent="0.2">
      <c r="A43">
        <v>42</v>
      </c>
      <c r="B43">
        <v>10</v>
      </c>
      <c r="C43">
        <v>5</v>
      </c>
      <c r="D43">
        <v>5</v>
      </c>
      <c r="E43">
        <v>20</v>
      </c>
      <c r="F43">
        <v>50</v>
      </c>
      <c r="G43">
        <v>25</v>
      </c>
      <c r="H43">
        <v>25</v>
      </c>
    </row>
    <row r="44" spans="1:8" x14ac:dyDescent="0.2">
      <c r="A44">
        <v>43</v>
      </c>
      <c r="B44">
        <v>13</v>
      </c>
      <c r="C44">
        <v>6</v>
      </c>
      <c r="D44">
        <v>2</v>
      </c>
      <c r="E44">
        <v>21</v>
      </c>
      <c r="F44">
        <v>61.904761904761912</v>
      </c>
      <c r="G44">
        <v>28.571428571428569</v>
      </c>
      <c r="H44">
        <v>9.5238095238095237</v>
      </c>
    </row>
    <row r="45" spans="1:8" x14ac:dyDescent="0.2">
      <c r="A45">
        <v>44</v>
      </c>
      <c r="B45">
        <v>14</v>
      </c>
      <c r="C45">
        <v>5</v>
      </c>
      <c r="D45">
        <v>3</v>
      </c>
      <c r="E45">
        <v>22</v>
      </c>
      <c r="F45">
        <v>63.636363636363633</v>
      </c>
      <c r="G45">
        <v>22.72727272727273</v>
      </c>
      <c r="H45">
        <v>13.63636363636364</v>
      </c>
    </row>
    <row r="46" spans="1:8" x14ac:dyDescent="0.2">
      <c r="A46">
        <v>45</v>
      </c>
      <c r="B46">
        <v>11</v>
      </c>
      <c r="C46">
        <v>6</v>
      </c>
      <c r="D46">
        <v>1</v>
      </c>
      <c r="E46">
        <v>18</v>
      </c>
      <c r="F46">
        <v>61.111111111111107</v>
      </c>
      <c r="G46">
        <v>33.333333333333343</v>
      </c>
      <c r="H46">
        <v>5.5555555555555554</v>
      </c>
    </row>
    <row r="47" spans="1:8" x14ac:dyDescent="0.2">
      <c r="A47">
        <v>46</v>
      </c>
      <c r="B47">
        <v>12</v>
      </c>
      <c r="C47">
        <v>3</v>
      </c>
      <c r="D47">
        <v>2</v>
      </c>
      <c r="E47">
        <v>17</v>
      </c>
      <c r="F47">
        <v>70.588235294117652</v>
      </c>
      <c r="G47">
        <v>17.647058823529409</v>
      </c>
      <c r="H47">
        <v>11.76470588235294</v>
      </c>
    </row>
    <row r="48" spans="1:8" x14ac:dyDescent="0.2">
      <c r="A48">
        <v>47</v>
      </c>
      <c r="B48">
        <v>12</v>
      </c>
      <c r="C48">
        <v>3</v>
      </c>
      <c r="D48">
        <v>0</v>
      </c>
      <c r="E48">
        <v>15</v>
      </c>
      <c r="F48">
        <v>80</v>
      </c>
      <c r="G48">
        <v>20</v>
      </c>
      <c r="H48">
        <v>0</v>
      </c>
    </row>
    <row r="49" spans="1:8" x14ac:dyDescent="0.2">
      <c r="A49">
        <v>48</v>
      </c>
      <c r="B49">
        <v>11</v>
      </c>
      <c r="C49">
        <v>5</v>
      </c>
      <c r="D49">
        <v>4</v>
      </c>
      <c r="E49">
        <v>20</v>
      </c>
      <c r="F49">
        <v>55</v>
      </c>
      <c r="G49">
        <v>25</v>
      </c>
      <c r="H49">
        <v>20</v>
      </c>
    </row>
    <row r="50" spans="1:8" x14ac:dyDescent="0.2">
      <c r="A50">
        <v>49</v>
      </c>
      <c r="B50">
        <v>11</v>
      </c>
      <c r="C50">
        <v>4</v>
      </c>
      <c r="D50">
        <v>3</v>
      </c>
      <c r="E50">
        <v>18</v>
      </c>
      <c r="F50">
        <v>61.111111111111107</v>
      </c>
      <c r="G50">
        <v>22.222222222222221</v>
      </c>
      <c r="H50">
        <v>16.666666666666671</v>
      </c>
    </row>
    <row r="51" spans="1:8" x14ac:dyDescent="0.2">
      <c r="A51">
        <v>50</v>
      </c>
      <c r="B51">
        <v>13</v>
      </c>
      <c r="C51">
        <v>5</v>
      </c>
      <c r="D51">
        <v>2</v>
      </c>
      <c r="E51">
        <v>20</v>
      </c>
      <c r="F51">
        <v>65</v>
      </c>
      <c r="G51">
        <v>25</v>
      </c>
      <c r="H51">
        <v>10</v>
      </c>
    </row>
    <row r="52" spans="1:8" x14ac:dyDescent="0.2">
      <c r="A52">
        <v>51</v>
      </c>
      <c r="B52">
        <v>13</v>
      </c>
      <c r="C52">
        <v>7</v>
      </c>
      <c r="D52">
        <v>1</v>
      </c>
      <c r="E52">
        <v>21</v>
      </c>
      <c r="F52">
        <v>61.904761904761912</v>
      </c>
      <c r="G52">
        <v>33.333333333333343</v>
      </c>
      <c r="H52">
        <v>4.7619047619047619</v>
      </c>
    </row>
    <row r="53" spans="1:8" x14ac:dyDescent="0.2">
      <c r="A53">
        <v>52</v>
      </c>
      <c r="B53">
        <v>11</v>
      </c>
      <c r="C53">
        <v>6</v>
      </c>
      <c r="D53">
        <v>4</v>
      </c>
      <c r="E53">
        <v>21</v>
      </c>
      <c r="F53">
        <v>52.38095238095238</v>
      </c>
      <c r="G53">
        <v>28.571428571428569</v>
      </c>
      <c r="H53">
        <v>19.047619047619051</v>
      </c>
    </row>
    <row r="54" spans="1:8" x14ac:dyDescent="0.2">
      <c r="A54">
        <v>53</v>
      </c>
      <c r="B54">
        <v>13</v>
      </c>
      <c r="C54">
        <v>4</v>
      </c>
      <c r="D54">
        <v>5</v>
      </c>
      <c r="E54">
        <v>22</v>
      </c>
      <c r="F54">
        <v>59.090909090909093</v>
      </c>
      <c r="G54">
        <v>18.18181818181818</v>
      </c>
      <c r="H54">
        <v>22.72727272727273</v>
      </c>
    </row>
    <row r="55" spans="1:8" x14ac:dyDescent="0.2">
      <c r="A55">
        <v>54</v>
      </c>
      <c r="B55">
        <v>12</v>
      </c>
      <c r="C55">
        <v>6</v>
      </c>
      <c r="D55">
        <v>2</v>
      </c>
      <c r="E55">
        <v>20</v>
      </c>
      <c r="F55">
        <v>60</v>
      </c>
      <c r="G55">
        <v>30</v>
      </c>
      <c r="H55">
        <v>10</v>
      </c>
    </row>
    <row r="56" spans="1:8" x14ac:dyDescent="0.2">
      <c r="A56">
        <v>55</v>
      </c>
      <c r="B56">
        <v>13</v>
      </c>
      <c r="C56">
        <v>5</v>
      </c>
      <c r="D56">
        <v>4</v>
      </c>
      <c r="E56">
        <v>22</v>
      </c>
      <c r="F56">
        <v>59.090909090909093</v>
      </c>
      <c r="G56">
        <v>22.72727272727273</v>
      </c>
      <c r="H56">
        <v>18.18181818181818</v>
      </c>
    </row>
    <row r="57" spans="1:8" x14ac:dyDescent="0.2">
      <c r="A57">
        <v>56</v>
      </c>
      <c r="B57">
        <v>11</v>
      </c>
      <c r="C57">
        <v>4</v>
      </c>
      <c r="D57">
        <v>3</v>
      </c>
      <c r="E57">
        <v>18</v>
      </c>
      <c r="F57">
        <v>61.111111111111107</v>
      </c>
      <c r="G57">
        <v>22.222222222222221</v>
      </c>
      <c r="H57">
        <v>16.666666666666671</v>
      </c>
    </row>
    <row r="58" spans="1:8" x14ac:dyDescent="0.2">
      <c r="A58">
        <v>57</v>
      </c>
      <c r="B58">
        <v>11</v>
      </c>
      <c r="C58">
        <v>4</v>
      </c>
      <c r="D58">
        <v>3</v>
      </c>
      <c r="E58">
        <v>18</v>
      </c>
      <c r="F58">
        <v>61.111111111111107</v>
      </c>
      <c r="G58">
        <v>22.222222222222221</v>
      </c>
      <c r="H58">
        <v>16.666666666666671</v>
      </c>
    </row>
    <row r="59" spans="1:8" x14ac:dyDescent="0.2">
      <c r="A59">
        <v>58</v>
      </c>
      <c r="B59">
        <v>15</v>
      </c>
      <c r="C59">
        <v>6</v>
      </c>
      <c r="D59">
        <v>1</v>
      </c>
      <c r="E59">
        <v>22</v>
      </c>
      <c r="F59">
        <v>68.181818181818187</v>
      </c>
      <c r="G59">
        <v>27.27272727272727</v>
      </c>
      <c r="H59">
        <v>4.5454545454545459</v>
      </c>
    </row>
    <row r="60" spans="1:8" x14ac:dyDescent="0.2">
      <c r="A60">
        <v>59</v>
      </c>
      <c r="B60">
        <v>14</v>
      </c>
      <c r="C60">
        <v>4</v>
      </c>
      <c r="D60">
        <v>3</v>
      </c>
      <c r="E60">
        <v>21</v>
      </c>
      <c r="F60">
        <v>66.666666666666671</v>
      </c>
      <c r="G60">
        <v>19.047619047619051</v>
      </c>
      <c r="H60">
        <v>14.28571428571429</v>
      </c>
    </row>
    <row r="61" spans="1:8" x14ac:dyDescent="0.2">
      <c r="A61">
        <v>60</v>
      </c>
      <c r="B61">
        <v>12</v>
      </c>
      <c r="C61">
        <v>4</v>
      </c>
      <c r="D61">
        <v>3</v>
      </c>
      <c r="E61">
        <v>19</v>
      </c>
      <c r="F61">
        <v>63.157894736842103</v>
      </c>
      <c r="G61">
        <v>21.05263157894737</v>
      </c>
      <c r="H61">
        <v>15.789473684210529</v>
      </c>
    </row>
    <row r="62" spans="1:8" x14ac:dyDescent="0.2">
      <c r="A62">
        <v>61</v>
      </c>
      <c r="B62">
        <v>12</v>
      </c>
      <c r="C62">
        <v>6</v>
      </c>
      <c r="D62">
        <v>3</v>
      </c>
      <c r="E62">
        <v>21</v>
      </c>
      <c r="F62">
        <v>57.142857142857153</v>
      </c>
      <c r="G62">
        <v>28.571428571428569</v>
      </c>
      <c r="H62">
        <v>14.28571428571429</v>
      </c>
    </row>
    <row r="63" spans="1:8" x14ac:dyDescent="0.2">
      <c r="A63">
        <v>62</v>
      </c>
      <c r="B63">
        <v>12</v>
      </c>
      <c r="C63">
        <v>3</v>
      </c>
      <c r="D63">
        <v>1</v>
      </c>
      <c r="E63">
        <v>16</v>
      </c>
      <c r="F63">
        <v>75</v>
      </c>
      <c r="G63">
        <v>18.75</v>
      </c>
      <c r="H63">
        <v>6.25</v>
      </c>
    </row>
    <row r="64" spans="1:8" x14ac:dyDescent="0.2">
      <c r="A64">
        <v>63</v>
      </c>
      <c r="B64">
        <v>12</v>
      </c>
      <c r="C64">
        <v>5</v>
      </c>
      <c r="D64">
        <v>4</v>
      </c>
      <c r="E64">
        <v>21</v>
      </c>
      <c r="F64">
        <v>57.142857142857153</v>
      </c>
      <c r="G64">
        <v>23.80952380952381</v>
      </c>
      <c r="H64">
        <v>19.047619047619051</v>
      </c>
    </row>
    <row r="65" spans="1:8" x14ac:dyDescent="0.2">
      <c r="A65">
        <v>64</v>
      </c>
      <c r="B65">
        <v>13</v>
      </c>
      <c r="C65">
        <v>5</v>
      </c>
      <c r="D65">
        <v>1</v>
      </c>
      <c r="E65">
        <v>19</v>
      </c>
      <c r="F65">
        <v>68.421052631578945</v>
      </c>
      <c r="G65">
        <v>26.315789473684209</v>
      </c>
      <c r="H65">
        <v>5.2631578947368416</v>
      </c>
    </row>
    <row r="66" spans="1:8" x14ac:dyDescent="0.2">
      <c r="A66">
        <v>65</v>
      </c>
      <c r="B66">
        <v>13</v>
      </c>
      <c r="C66">
        <v>5</v>
      </c>
      <c r="D66">
        <v>3</v>
      </c>
      <c r="E66">
        <v>21</v>
      </c>
      <c r="F66">
        <v>61.904761904761912</v>
      </c>
      <c r="G66">
        <v>23.80952380952381</v>
      </c>
      <c r="H66">
        <v>14.28571428571429</v>
      </c>
    </row>
    <row r="67" spans="1:8" x14ac:dyDescent="0.2">
      <c r="A67">
        <v>66</v>
      </c>
      <c r="B67">
        <v>11</v>
      </c>
      <c r="C67">
        <v>4</v>
      </c>
      <c r="D67">
        <v>0</v>
      </c>
      <c r="E67">
        <v>15</v>
      </c>
      <c r="F67">
        <v>73.333333333333329</v>
      </c>
      <c r="G67">
        <v>26.666666666666671</v>
      </c>
      <c r="H67">
        <v>0</v>
      </c>
    </row>
    <row r="68" spans="1:8" x14ac:dyDescent="0.2">
      <c r="A68">
        <v>67</v>
      </c>
      <c r="B68">
        <v>11</v>
      </c>
      <c r="C68">
        <v>6</v>
      </c>
      <c r="D68">
        <v>1</v>
      </c>
      <c r="E68">
        <v>18</v>
      </c>
      <c r="F68">
        <v>61.111111111111107</v>
      </c>
      <c r="G68">
        <v>33.333333333333343</v>
      </c>
      <c r="H68">
        <v>5.5555555555555554</v>
      </c>
    </row>
    <row r="69" spans="1:8" x14ac:dyDescent="0.2">
      <c r="A69">
        <v>68</v>
      </c>
      <c r="B69">
        <v>12</v>
      </c>
      <c r="C69">
        <v>7</v>
      </c>
      <c r="D69">
        <v>2</v>
      </c>
      <c r="E69">
        <v>21</v>
      </c>
      <c r="F69">
        <v>57.142857142857153</v>
      </c>
      <c r="G69">
        <v>33.333333333333343</v>
      </c>
      <c r="H69">
        <v>9.5238095238095237</v>
      </c>
    </row>
    <row r="70" spans="1:8" x14ac:dyDescent="0.2">
      <c r="A70">
        <v>69</v>
      </c>
      <c r="B70">
        <v>14</v>
      </c>
      <c r="C70">
        <v>5</v>
      </c>
      <c r="D70">
        <v>3</v>
      </c>
      <c r="E70">
        <v>22</v>
      </c>
      <c r="F70">
        <v>63.636363636363633</v>
      </c>
      <c r="G70">
        <v>22.72727272727273</v>
      </c>
      <c r="H70">
        <v>13.63636363636364</v>
      </c>
    </row>
    <row r="71" spans="1:8" x14ac:dyDescent="0.2">
      <c r="A71">
        <v>70</v>
      </c>
      <c r="B71">
        <v>12</v>
      </c>
      <c r="C71">
        <v>6</v>
      </c>
      <c r="D71">
        <v>2</v>
      </c>
      <c r="E71">
        <v>20</v>
      </c>
      <c r="F71">
        <v>60</v>
      </c>
      <c r="G71">
        <v>30</v>
      </c>
      <c r="H71">
        <v>10</v>
      </c>
    </row>
    <row r="72" spans="1:8" x14ac:dyDescent="0.2">
      <c r="A72">
        <v>71</v>
      </c>
      <c r="B72">
        <v>13</v>
      </c>
      <c r="C72">
        <v>4</v>
      </c>
      <c r="D72">
        <v>2</v>
      </c>
      <c r="E72">
        <v>19</v>
      </c>
      <c r="F72">
        <v>68.421052631578945</v>
      </c>
      <c r="G72">
        <v>21.05263157894737</v>
      </c>
      <c r="H72">
        <v>10.52631578947368</v>
      </c>
    </row>
    <row r="73" spans="1:8" x14ac:dyDescent="0.2">
      <c r="A73">
        <v>72</v>
      </c>
      <c r="B73">
        <v>15</v>
      </c>
      <c r="C73">
        <v>5</v>
      </c>
      <c r="D73">
        <v>2</v>
      </c>
      <c r="E73">
        <v>22</v>
      </c>
      <c r="F73">
        <v>68.181818181818187</v>
      </c>
      <c r="G73">
        <v>22.72727272727273</v>
      </c>
      <c r="H73">
        <v>9.0909090909090917</v>
      </c>
    </row>
    <row r="74" spans="1:8" x14ac:dyDescent="0.2">
      <c r="A74">
        <v>73</v>
      </c>
      <c r="B74">
        <v>11</v>
      </c>
      <c r="C74">
        <v>5</v>
      </c>
      <c r="D74">
        <v>3</v>
      </c>
      <c r="E74">
        <v>19</v>
      </c>
      <c r="F74">
        <v>57.89473684210526</v>
      </c>
      <c r="G74">
        <v>26.315789473684209</v>
      </c>
      <c r="H74">
        <v>15.789473684210529</v>
      </c>
    </row>
    <row r="75" spans="1:8" x14ac:dyDescent="0.2">
      <c r="A75">
        <v>74</v>
      </c>
      <c r="B75">
        <v>11</v>
      </c>
      <c r="C75">
        <v>5</v>
      </c>
      <c r="D75">
        <v>4</v>
      </c>
      <c r="E75">
        <v>20</v>
      </c>
      <c r="F75">
        <v>55</v>
      </c>
      <c r="G75">
        <v>25</v>
      </c>
      <c r="H75">
        <v>20</v>
      </c>
    </row>
    <row r="76" spans="1:8" x14ac:dyDescent="0.2">
      <c r="A76">
        <v>75</v>
      </c>
      <c r="B76">
        <v>12</v>
      </c>
      <c r="C76">
        <v>7</v>
      </c>
      <c r="D76">
        <v>2</v>
      </c>
      <c r="E76">
        <v>21</v>
      </c>
      <c r="F76">
        <v>57.142857142857153</v>
      </c>
      <c r="G76">
        <v>33.333333333333343</v>
      </c>
      <c r="H76">
        <v>9.5238095238095237</v>
      </c>
    </row>
    <row r="77" spans="1:8" x14ac:dyDescent="0.2">
      <c r="A77">
        <v>76</v>
      </c>
      <c r="B77">
        <v>14</v>
      </c>
      <c r="C77">
        <v>5</v>
      </c>
      <c r="D77">
        <v>3</v>
      </c>
      <c r="E77">
        <v>22</v>
      </c>
      <c r="F77">
        <v>63.636363636363633</v>
      </c>
      <c r="G77">
        <v>22.72727272727273</v>
      </c>
      <c r="H77">
        <v>13.63636363636364</v>
      </c>
    </row>
    <row r="78" spans="1:8" x14ac:dyDescent="0.2">
      <c r="A78">
        <v>77</v>
      </c>
      <c r="B78">
        <v>12</v>
      </c>
      <c r="C78">
        <v>3</v>
      </c>
      <c r="D78">
        <v>0</v>
      </c>
      <c r="E78">
        <v>15</v>
      </c>
      <c r="F78">
        <v>80</v>
      </c>
      <c r="G78">
        <v>20</v>
      </c>
      <c r="H78">
        <v>0</v>
      </c>
    </row>
    <row r="79" spans="1:8" x14ac:dyDescent="0.2">
      <c r="A79">
        <v>78</v>
      </c>
      <c r="B79">
        <v>12</v>
      </c>
      <c r="C79">
        <v>5</v>
      </c>
      <c r="D79">
        <v>4</v>
      </c>
      <c r="E79">
        <v>21</v>
      </c>
      <c r="F79">
        <v>57.142857142857153</v>
      </c>
      <c r="G79">
        <v>23.80952380952381</v>
      </c>
      <c r="H79">
        <v>19.047619047619051</v>
      </c>
    </row>
    <row r="80" spans="1:8" x14ac:dyDescent="0.2">
      <c r="A80">
        <v>79</v>
      </c>
      <c r="B80">
        <v>12</v>
      </c>
      <c r="C80">
        <v>5</v>
      </c>
      <c r="D80">
        <v>2</v>
      </c>
      <c r="E80">
        <v>19</v>
      </c>
      <c r="F80">
        <v>63.157894736842103</v>
      </c>
      <c r="G80">
        <v>26.315789473684209</v>
      </c>
      <c r="H80">
        <v>10.52631578947368</v>
      </c>
    </row>
    <row r="81" spans="1:8" x14ac:dyDescent="0.2">
      <c r="A81">
        <v>80</v>
      </c>
      <c r="B81">
        <v>14</v>
      </c>
      <c r="C81">
        <v>5</v>
      </c>
      <c r="D81">
        <v>2</v>
      </c>
      <c r="E81">
        <v>21</v>
      </c>
      <c r="F81">
        <v>66.666666666666671</v>
      </c>
      <c r="G81">
        <v>23.80952380952381</v>
      </c>
      <c r="H81">
        <v>9.5238095238095237</v>
      </c>
    </row>
    <row r="82" spans="1:8" x14ac:dyDescent="0.2">
      <c r="A82">
        <v>81</v>
      </c>
      <c r="B82">
        <v>15</v>
      </c>
      <c r="C82">
        <v>5</v>
      </c>
      <c r="D82">
        <v>2</v>
      </c>
      <c r="E82">
        <v>22</v>
      </c>
      <c r="F82">
        <v>68.181818181818187</v>
      </c>
      <c r="G82">
        <v>22.72727272727273</v>
      </c>
      <c r="H82">
        <v>9.0909090909090917</v>
      </c>
    </row>
    <row r="83" spans="1:8" x14ac:dyDescent="0.2">
      <c r="A83">
        <v>82</v>
      </c>
      <c r="B83">
        <v>12</v>
      </c>
      <c r="C83">
        <v>6</v>
      </c>
      <c r="D83">
        <v>4</v>
      </c>
      <c r="E83">
        <v>22</v>
      </c>
      <c r="F83">
        <v>54.545454545454547</v>
      </c>
      <c r="G83">
        <v>27.27272727272727</v>
      </c>
      <c r="H83">
        <v>18.18181818181818</v>
      </c>
    </row>
    <row r="84" spans="1:8" x14ac:dyDescent="0.2">
      <c r="A84">
        <v>83</v>
      </c>
      <c r="B84">
        <v>9</v>
      </c>
      <c r="C84">
        <v>6</v>
      </c>
      <c r="D84">
        <v>3</v>
      </c>
      <c r="E84">
        <v>18</v>
      </c>
      <c r="F84">
        <v>50</v>
      </c>
      <c r="G84">
        <v>33.333333333333343</v>
      </c>
      <c r="H84">
        <v>16.666666666666671</v>
      </c>
    </row>
    <row r="85" spans="1:8" x14ac:dyDescent="0.2">
      <c r="A85">
        <v>84</v>
      </c>
      <c r="B85">
        <v>12</v>
      </c>
      <c r="C85">
        <v>5</v>
      </c>
      <c r="D85">
        <v>3</v>
      </c>
      <c r="E85">
        <v>20</v>
      </c>
      <c r="F85">
        <v>60</v>
      </c>
      <c r="G85">
        <v>25</v>
      </c>
      <c r="H85">
        <v>15</v>
      </c>
    </row>
    <row r="86" spans="1:8" x14ac:dyDescent="0.2">
      <c r="A86">
        <v>85</v>
      </c>
      <c r="B86">
        <v>10</v>
      </c>
      <c r="C86">
        <v>8</v>
      </c>
      <c r="D86">
        <v>0</v>
      </c>
      <c r="E86">
        <v>18</v>
      </c>
      <c r="F86">
        <v>55.555555555555557</v>
      </c>
      <c r="G86">
        <v>44.444444444444443</v>
      </c>
      <c r="H86">
        <v>0</v>
      </c>
    </row>
    <row r="87" spans="1:8" x14ac:dyDescent="0.2">
      <c r="A87">
        <v>86</v>
      </c>
      <c r="B87">
        <v>13</v>
      </c>
      <c r="C87">
        <v>6</v>
      </c>
      <c r="D87">
        <v>2</v>
      </c>
      <c r="E87">
        <v>21</v>
      </c>
      <c r="F87">
        <v>61.904761904761912</v>
      </c>
      <c r="G87">
        <v>28.571428571428569</v>
      </c>
      <c r="H87">
        <v>9.5238095238095237</v>
      </c>
    </row>
    <row r="88" spans="1:8" x14ac:dyDescent="0.2">
      <c r="A88">
        <v>87</v>
      </c>
      <c r="B88">
        <v>14</v>
      </c>
      <c r="C88">
        <v>6</v>
      </c>
      <c r="D88">
        <v>1</v>
      </c>
      <c r="E88">
        <v>21</v>
      </c>
      <c r="F88">
        <v>66.666666666666671</v>
      </c>
      <c r="G88">
        <v>28.571428571428569</v>
      </c>
      <c r="H88">
        <v>4.7619047619047619</v>
      </c>
    </row>
    <row r="89" spans="1:8" x14ac:dyDescent="0.2">
      <c r="A89">
        <v>88</v>
      </c>
      <c r="B89">
        <v>10</v>
      </c>
      <c r="C89">
        <v>4</v>
      </c>
      <c r="D89">
        <v>3</v>
      </c>
      <c r="E89">
        <v>17</v>
      </c>
      <c r="F89">
        <v>58.823529411764703</v>
      </c>
      <c r="G89">
        <v>23.52941176470588</v>
      </c>
      <c r="H89">
        <v>17.647058823529409</v>
      </c>
    </row>
    <row r="90" spans="1:8" x14ac:dyDescent="0.2">
      <c r="A90">
        <v>89</v>
      </c>
      <c r="B90">
        <v>12</v>
      </c>
      <c r="C90">
        <v>5</v>
      </c>
      <c r="D90">
        <v>2</v>
      </c>
      <c r="E90">
        <v>19</v>
      </c>
      <c r="F90">
        <v>63.157894736842103</v>
      </c>
      <c r="G90">
        <v>26.315789473684209</v>
      </c>
      <c r="H90">
        <v>10.52631578947368</v>
      </c>
    </row>
    <row r="91" spans="1:8" x14ac:dyDescent="0.2">
      <c r="A91">
        <v>90</v>
      </c>
      <c r="B91">
        <v>11</v>
      </c>
      <c r="C91">
        <v>5</v>
      </c>
      <c r="D91">
        <v>6</v>
      </c>
      <c r="E91">
        <v>22</v>
      </c>
      <c r="F91">
        <v>50</v>
      </c>
      <c r="G91">
        <v>22.72727272727273</v>
      </c>
      <c r="H91">
        <v>27.27272727272727</v>
      </c>
    </row>
    <row r="92" spans="1:8" x14ac:dyDescent="0.2">
      <c r="A92">
        <v>91</v>
      </c>
      <c r="B92">
        <v>12</v>
      </c>
      <c r="C92">
        <v>5</v>
      </c>
      <c r="D92">
        <v>4</v>
      </c>
      <c r="E92">
        <v>21</v>
      </c>
      <c r="F92">
        <v>57.142857142857153</v>
      </c>
      <c r="G92">
        <v>23.80952380952381</v>
      </c>
      <c r="H92">
        <v>19.047619047619051</v>
      </c>
    </row>
    <row r="93" spans="1:8" x14ac:dyDescent="0.2">
      <c r="A93">
        <v>92</v>
      </c>
      <c r="B93">
        <v>12</v>
      </c>
      <c r="C93">
        <v>6</v>
      </c>
      <c r="D93">
        <v>3</v>
      </c>
      <c r="E93">
        <v>21</v>
      </c>
      <c r="F93">
        <v>57.142857142857153</v>
      </c>
      <c r="G93">
        <v>28.571428571428569</v>
      </c>
      <c r="H93">
        <v>14.28571428571429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60</v>
      </c>
      <c r="B1" s="1" t="s">
        <v>61</v>
      </c>
    </row>
    <row r="2" spans="1:2" x14ac:dyDescent="0.2">
      <c r="A2" t="s">
        <v>57</v>
      </c>
      <c r="B2">
        <v>62.628170155848842</v>
      </c>
    </row>
    <row r="3" spans="1:2" x14ac:dyDescent="0.2">
      <c r="A3" t="s">
        <v>58</v>
      </c>
      <c r="B3">
        <v>25.82153770385699</v>
      </c>
    </row>
    <row r="4" spans="1:2" x14ac:dyDescent="0.2">
      <c r="A4" t="s">
        <v>59</v>
      </c>
      <c r="B4">
        <v>11.550292140294159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62</v>
      </c>
      <c r="B1" s="1" t="s">
        <v>63</v>
      </c>
      <c r="C1" s="1" t="s">
        <v>64</v>
      </c>
    </row>
    <row r="2" spans="1:3" x14ac:dyDescent="0.2">
      <c r="A2" t="s">
        <v>65</v>
      </c>
      <c r="B2">
        <v>466</v>
      </c>
      <c r="C2">
        <v>45.155038759689923</v>
      </c>
    </row>
    <row r="3" spans="1:3" x14ac:dyDescent="0.2">
      <c r="A3" t="s">
        <v>66</v>
      </c>
      <c r="B3">
        <v>566</v>
      </c>
      <c r="C3">
        <v>54.844961240310077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67</v>
      </c>
    </row>
    <row r="2" spans="1:2" x14ac:dyDescent="0.2">
      <c r="A2">
        <v>0</v>
      </c>
      <c r="B2">
        <v>5520</v>
      </c>
    </row>
    <row r="3" spans="1:2" x14ac:dyDescent="0.2">
      <c r="A3">
        <v>1</v>
      </c>
      <c r="B3">
        <v>9390</v>
      </c>
    </row>
    <row r="4" spans="1:2" x14ac:dyDescent="0.2">
      <c r="A4">
        <v>2</v>
      </c>
      <c r="B4">
        <v>13260</v>
      </c>
    </row>
    <row r="5" spans="1:2" x14ac:dyDescent="0.2">
      <c r="A5">
        <v>3</v>
      </c>
      <c r="B5">
        <v>17130</v>
      </c>
    </row>
    <row r="6" spans="1:2" x14ac:dyDescent="0.2">
      <c r="A6">
        <v>4</v>
      </c>
      <c r="B6">
        <v>20107.08937735072</v>
      </c>
    </row>
    <row r="7" spans="1:2" x14ac:dyDescent="0.2">
      <c r="A7">
        <v>5</v>
      </c>
      <c r="B7">
        <v>22556.988533337211</v>
      </c>
    </row>
    <row r="8" spans="1:2" x14ac:dyDescent="0.2">
      <c r="A8">
        <v>6</v>
      </c>
      <c r="B8">
        <v>20638.888070909528</v>
      </c>
    </row>
    <row r="9" spans="1:2" x14ac:dyDescent="0.2">
      <c r="A9">
        <v>7</v>
      </c>
      <c r="B9">
        <v>18630.514158624101</v>
      </c>
    </row>
    <row r="10" spans="1:2" x14ac:dyDescent="0.2">
      <c r="A10">
        <v>8</v>
      </c>
      <c r="B10">
        <v>18133.445462203679</v>
      </c>
    </row>
    <row r="11" spans="1:2" x14ac:dyDescent="0.2">
      <c r="A11">
        <v>9</v>
      </c>
      <c r="B11">
        <v>17851.10764623007</v>
      </c>
    </row>
    <row r="12" spans="1:2" x14ac:dyDescent="0.2">
      <c r="A12">
        <v>10</v>
      </c>
      <c r="B12">
        <v>17455.422419986669</v>
      </c>
    </row>
    <row r="13" spans="1:2" x14ac:dyDescent="0.2">
      <c r="A13">
        <v>11</v>
      </c>
      <c r="B13">
        <v>15805.84118480514</v>
      </c>
    </row>
    <row r="14" spans="1:2" x14ac:dyDescent="0.2">
      <c r="A14">
        <v>12</v>
      </c>
      <c r="B14">
        <v>14251.83303522505</v>
      </c>
    </row>
    <row r="15" spans="1:2" x14ac:dyDescent="0.2">
      <c r="A15">
        <v>13</v>
      </c>
      <c r="B15">
        <v>12687.50959048177</v>
      </c>
    </row>
    <row r="16" spans="1:2" x14ac:dyDescent="0.2">
      <c r="A16">
        <v>14</v>
      </c>
      <c r="B16">
        <v>10714.507644104409</v>
      </c>
    </row>
    <row r="17" spans="1:2" x14ac:dyDescent="0.2">
      <c r="A17">
        <v>15</v>
      </c>
      <c r="B17">
        <v>8874.1655942141715</v>
      </c>
    </row>
    <row r="18" spans="1:2" x14ac:dyDescent="0.2">
      <c r="A18">
        <v>16</v>
      </c>
      <c r="B18">
        <v>7684.4942076833404</v>
      </c>
    </row>
    <row r="19" spans="1:2" x14ac:dyDescent="0.2">
      <c r="A19">
        <v>17</v>
      </c>
      <c r="B19">
        <v>6957.5843143160901</v>
      </c>
    </row>
    <row r="20" spans="1:2" x14ac:dyDescent="0.2">
      <c r="A20">
        <v>18</v>
      </c>
      <c r="B20">
        <v>6504.6904059789786</v>
      </c>
    </row>
    <row r="21" spans="1:2" x14ac:dyDescent="0.2">
      <c r="A21">
        <v>19</v>
      </c>
      <c r="B21">
        <v>6696.952977751791</v>
      </c>
    </row>
    <row r="22" spans="1:2" x14ac:dyDescent="0.2">
      <c r="A22">
        <v>20</v>
      </c>
      <c r="B22">
        <v>6591.9413434094486</v>
      </c>
    </row>
    <row r="23" spans="1:2" x14ac:dyDescent="0.2">
      <c r="A23">
        <v>21</v>
      </c>
      <c r="B23">
        <v>5972.6312024434637</v>
      </c>
    </row>
    <row r="24" spans="1:2" x14ac:dyDescent="0.2">
      <c r="A24">
        <v>22</v>
      </c>
      <c r="B24">
        <v>5520</v>
      </c>
    </row>
    <row r="25" spans="1:2" x14ac:dyDescent="0.2">
      <c r="A25">
        <v>23</v>
      </c>
      <c r="B25">
        <v>5520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93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</row>
    <row r="2" spans="1:25" x14ac:dyDescent="0.2">
      <c r="A2" s="1" t="s">
        <v>92</v>
      </c>
      <c r="B2">
        <v>0.2</v>
      </c>
      <c r="C2">
        <v>0.49999993482980959</v>
      </c>
      <c r="D2">
        <v>0.5</v>
      </c>
      <c r="E2">
        <v>0.8</v>
      </c>
      <c r="F2">
        <v>1</v>
      </c>
      <c r="G2">
        <v>0.91765946571128532</v>
      </c>
      <c r="H2">
        <v>0.83531893142257396</v>
      </c>
      <c r="I2">
        <v>0.76653799793068722</v>
      </c>
      <c r="J2">
        <v>0.69775706443880381</v>
      </c>
      <c r="K2">
        <v>0.61133793929267177</v>
      </c>
      <c r="L2">
        <v>0.5249188141465394</v>
      </c>
      <c r="M2">
        <v>0.46050201814762881</v>
      </c>
      <c r="N2">
        <v>0.39608522214871739</v>
      </c>
      <c r="O2">
        <v>0.45201522416081691</v>
      </c>
      <c r="P2">
        <v>0.39336160981480001</v>
      </c>
      <c r="Q2">
        <v>0.33470799546878299</v>
      </c>
      <c r="R2">
        <v>0.26735399773439122</v>
      </c>
      <c r="S2">
        <v>0.2</v>
      </c>
      <c r="T2">
        <v>0.2</v>
      </c>
      <c r="U2">
        <v>0.47268848447646439</v>
      </c>
      <c r="V2">
        <v>0.3886316595938219</v>
      </c>
      <c r="W2">
        <v>0.29431582979691101</v>
      </c>
      <c r="X2">
        <v>0.2</v>
      </c>
      <c r="Y2">
        <v>0.2</v>
      </c>
    </row>
    <row r="3" spans="1:25" x14ac:dyDescent="0.2">
      <c r="A3" s="1" t="s">
        <v>93</v>
      </c>
      <c r="B3">
        <v>0.2</v>
      </c>
      <c r="C3">
        <v>0.2</v>
      </c>
      <c r="D3">
        <v>0.2</v>
      </c>
      <c r="E3">
        <v>0.2</v>
      </c>
      <c r="F3">
        <v>0.5</v>
      </c>
      <c r="G3">
        <v>0.8</v>
      </c>
      <c r="H3">
        <v>0.73039074330250953</v>
      </c>
      <c r="I3">
        <v>0.66078148660501901</v>
      </c>
      <c r="J3">
        <v>0.88435762771072957</v>
      </c>
      <c r="K3">
        <v>0.80550037275237252</v>
      </c>
      <c r="L3">
        <v>0.7266431177940037</v>
      </c>
      <c r="M3">
        <v>0.63920547422930529</v>
      </c>
      <c r="N3">
        <v>0.55176783066460888</v>
      </c>
      <c r="O3">
        <v>0.48261292527732191</v>
      </c>
      <c r="P3">
        <v>0.42441875841777688</v>
      </c>
      <c r="Q3">
        <v>0.36622459155823789</v>
      </c>
      <c r="R3">
        <v>0.28311229577912023</v>
      </c>
      <c r="S3">
        <v>0.2</v>
      </c>
      <c r="T3">
        <v>0.2</v>
      </c>
      <c r="U3">
        <v>0.39386877189542768</v>
      </c>
      <c r="V3">
        <v>0.29028477264411179</v>
      </c>
      <c r="W3">
        <v>0.29028477264411179</v>
      </c>
      <c r="X3">
        <v>0.2</v>
      </c>
      <c r="Y3">
        <v>0.2</v>
      </c>
    </row>
    <row r="4" spans="1:25" x14ac:dyDescent="0.2">
      <c r="A4" s="1" t="s">
        <v>94</v>
      </c>
      <c r="B4">
        <v>0.2</v>
      </c>
      <c r="C4">
        <v>0.2</v>
      </c>
      <c r="D4">
        <v>0.5</v>
      </c>
      <c r="E4">
        <v>0.5</v>
      </c>
      <c r="F4">
        <v>0.5</v>
      </c>
      <c r="G4">
        <v>0.8</v>
      </c>
      <c r="H4">
        <v>0.73160843190661373</v>
      </c>
      <c r="I4">
        <v>0.66321686381322975</v>
      </c>
      <c r="J4">
        <v>0.58518321491310032</v>
      </c>
      <c r="K4">
        <v>0.50714956601297101</v>
      </c>
      <c r="L4">
        <v>0.66538658886932178</v>
      </c>
      <c r="M4">
        <v>0.66538658886932112</v>
      </c>
      <c r="N4">
        <v>0.5832411811619016</v>
      </c>
      <c r="O4">
        <v>0.5010957734544802</v>
      </c>
      <c r="P4">
        <v>0.4189503657470568</v>
      </c>
      <c r="Q4">
        <v>0.36031627350049822</v>
      </c>
      <c r="R4">
        <v>0.28015813675024892</v>
      </c>
      <c r="S4">
        <v>0.2</v>
      </c>
      <c r="T4">
        <v>0.2</v>
      </c>
      <c r="U4">
        <v>0.29028766041107129</v>
      </c>
      <c r="V4">
        <v>0.2</v>
      </c>
      <c r="W4">
        <v>0.2</v>
      </c>
      <c r="X4">
        <v>0.2</v>
      </c>
      <c r="Y4">
        <v>0.2</v>
      </c>
    </row>
    <row r="5" spans="1:25" x14ac:dyDescent="0.2">
      <c r="A5" s="1" t="s">
        <v>95</v>
      </c>
      <c r="B5">
        <v>0.2</v>
      </c>
      <c r="C5">
        <v>0.2</v>
      </c>
      <c r="D5">
        <v>0.2</v>
      </c>
      <c r="E5">
        <v>0.5</v>
      </c>
      <c r="F5">
        <v>0.5</v>
      </c>
      <c r="G5">
        <v>0.8</v>
      </c>
      <c r="H5">
        <v>0.71868227147632635</v>
      </c>
      <c r="I5">
        <v>0.62077570830727369</v>
      </c>
      <c r="J5">
        <v>0.52286914513821026</v>
      </c>
      <c r="K5">
        <v>0.81912276102951054</v>
      </c>
      <c r="L5">
        <v>0.74401964212523475</v>
      </c>
      <c r="M5">
        <v>0.66891652322095907</v>
      </c>
      <c r="N5">
        <v>0.57445045411472473</v>
      </c>
      <c r="O5">
        <v>0.4799843850084905</v>
      </c>
      <c r="P5">
        <v>0.41406040989308679</v>
      </c>
      <c r="Q5">
        <v>0.34813643477768269</v>
      </c>
      <c r="R5">
        <v>0.27406821738884141</v>
      </c>
      <c r="S5">
        <v>0.2</v>
      </c>
      <c r="T5">
        <v>0.26863181536515462</v>
      </c>
      <c r="U5">
        <v>0.2</v>
      </c>
      <c r="V5">
        <v>0.2</v>
      </c>
      <c r="W5">
        <v>0.2</v>
      </c>
      <c r="X5">
        <v>0.2</v>
      </c>
      <c r="Y5">
        <v>0.2</v>
      </c>
    </row>
    <row r="6" spans="1:25" x14ac:dyDescent="0.2">
      <c r="A6" s="1" t="s">
        <v>96</v>
      </c>
      <c r="B6">
        <v>0.2</v>
      </c>
      <c r="C6">
        <v>0.2</v>
      </c>
      <c r="D6">
        <v>0.5</v>
      </c>
      <c r="E6">
        <v>0.8</v>
      </c>
      <c r="F6">
        <v>1</v>
      </c>
      <c r="G6">
        <v>0.91284718560232969</v>
      </c>
      <c r="H6">
        <v>0.82569437120466416</v>
      </c>
      <c r="I6">
        <v>0.73854155680699862</v>
      </c>
      <c r="J6">
        <v>0.65893619118733582</v>
      </c>
      <c r="K6">
        <v>0.57933082556766657</v>
      </c>
      <c r="L6">
        <v>0.47796805492038508</v>
      </c>
      <c r="M6">
        <v>0.37660528427310158</v>
      </c>
      <c r="N6">
        <v>0.41333056275217012</v>
      </c>
      <c r="O6">
        <v>0.41333056275217012</v>
      </c>
      <c r="P6">
        <v>0.34070292058519741</v>
      </c>
      <c r="Q6">
        <v>0.27035146029259871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</row>
    <row r="7" spans="1:25" x14ac:dyDescent="0.2">
      <c r="A7" s="1" t="s">
        <v>97</v>
      </c>
      <c r="B7">
        <v>0.2</v>
      </c>
      <c r="C7">
        <v>0.5</v>
      </c>
      <c r="D7">
        <v>0.5</v>
      </c>
      <c r="E7">
        <v>0.8</v>
      </c>
      <c r="F7">
        <v>0.70850614981419857</v>
      </c>
      <c r="G7">
        <v>0.6170122996283971</v>
      </c>
      <c r="H7">
        <v>0.54777149974531347</v>
      </c>
      <c r="I7">
        <v>0.47853069986221519</v>
      </c>
      <c r="J7">
        <v>0.39166890747083072</v>
      </c>
      <c r="K7">
        <v>0.69166890747083276</v>
      </c>
      <c r="L7">
        <v>0.61463630483928255</v>
      </c>
      <c r="M7">
        <v>0.62857327126710716</v>
      </c>
      <c r="N7">
        <v>0.54343007350432815</v>
      </c>
      <c r="O7">
        <v>0.45828687574155241</v>
      </c>
      <c r="P7">
        <v>0.39532369151466501</v>
      </c>
      <c r="Q7">
        <v>0.33236050728777933</v>
      </c>
      <c r="R7">
        <v>0.26618025364389047</v>
      </c>
      <c r="S7">
        <v>0.2</v>
      </c>
      <c r="T7">
        <v>0.2</v>
      </c>
      <c r="U7">
        <v>0.43988257972121098</v>
      </c>
      <c r="V7">
        <v>0.31994128986060638</v>
      </c>
      <c r="W7">
        <v>0.2</v>
      </c>
      <c r="X7">
        <v>0.2</v>
      </c>
      <c r="Y7">
        <v>0.2</v>
      </c>
    </row>
    <row r="8" spans="1:25" x14ac:dyDescent="0.2">
      <c r="A8" s="1" t="s">
        <v>98</v>
      </c>
      <c r="B8">
        <v>0.2</v>
      </c>
      <c r="C8">
        <v>0.5</v>
      </c>
      <c r="D8">
        <v>0.5</v>
      </c>
      <c r="E8">
        <v>0.5</v>
      </c>
      <c r="F8">
        <v>0.7</v>
      </c>
      <c r="G8">
        <v>1</v>
      </c>
      <c r="H8">
        <v>0.92047723027738715</v>
      </c>
      <c r="I8">
        <v>0.85742081182635332</v>
      </c>
      <c r="J8">
        <v>0.78317694623124501</v>
      </c>
      <c r="K8">
        <v>0.70893308063613658</v>
      </c>
      <c r="L8">
        <v>0.62999797161263948</v>
      </c>
      <c r="M8">
        <v>0.55106286258914239</v>
      </c>
      <c r="N8">
        <v>0.47448418489846289</v>
      </c>
      <c r="O8">
        <v>0.39790550720778339</v>
      </c>
      <c r="P8">
        <v>0.32479841965520873</v>
      </c>
      <c r="Q8">
        <v>0.26733794465662508</v>
      </c>
      <c r="R8">
        <v>0.20987746965804149</v>
      </c>
      <c r="S8">
        <v>0.2682251170107392</v>
      </c>
      <c r="T8">
        <v>0.2</v>
      </c>
      <c r="U8">
        <v>0.30812088825459072</v>
      </c>
      <c r="V8">
        <v>0.30812088825459072</v>
      </c>
      <c r="W8">
        <v>0.2</v>
      </c>
      <c r="X8">
        <v>0.2</v>
      </c>
      <c r="Y8">
        <v>0.2</v>
      </c>
    </row>
    <row r="9" spans="1:25" x14ac:dyDescent="0.2">
      <c r="A9" s="1" t="s">
        <v>99</v>
      </c>
      <c r="B9">
        <v>0.2</v>
      </c>
      <c r="C9">
        <v>0.5</v>
      </c>
      <c r="D9">
        <v>0.79999993482982079</v>
      </c>
      <c r="E9">
        <v>0.79999993482982079</v>
      </c>
      <c r="F9">
        <v>0.8</v>
      </c>
      <c r="G9">
        <v>0.71651398062104543</v>
      </c>
      <c r="H9">
        <v>0.65080361641101536</v>
      </c>
      <c r="I9">
        <v>0.58509325220098529</v>
      </c>
      <c r="J9">
        <v>0.50504845722843839</v>
      </c>
      <c r="K9">
        <v>0.42500366225588609</v>
      </c>
      <c r="L9">
        <v>0.6478721007910383</v>
      </c>
      <c r="M9">
        <v>0.6478721007910393</v>
      </c>
      <c r="N9">
        <v>0.56352874230147854</v>
      </c>
      <c r="O9">
        <v>0.47918538381191778</v>
      </c>
      <c r="P9">
        <v>0.41049951163725013</v>
      </c>
      <c r="Q9">
        <v>0.34181363946258242</v>
      </c>
      <c r="R9">
        <v>0.27090681973129122</v>
      </c>
      <c r="S9">
        <v>0.2</v>
      </c>
      <c r="T9">
        <v>0.27244724606151521</v>
      </c>
      <c r="U9">
        <v>0.2</v>
      </c>
      <c r="V9">
        <v>0.2</v>
      </c>
      <c r="W9">
        <v>0.2</v>
      </c>
      <c r="X9">
        <v>0.2</v>
      </c>
      <c r="Y9">
        <v>0.2</v>
      </c>
    </row>
    <row r="10" spans="1:25" x14ac:dyDescent="0.2">
      <c r="A10" s="1" t="s">
        <v>100</v>
      </c>
      <c r="B10">
        <v>0.2</v>
      </c>
      <c r="C10">
        <v>0.5</v>
      </c>
      <c r="D10">
        <v>0.5</v>
      </c>
      <c r="E10">
        <v>0.8</v>
      </c>
      <c r="F10">
        <v>1</v>
      </c>
      <c r="G10">
        <v>0.93010025726764201</v>
      </c>
      <c r="H10">
        <v>0.86020051453528401</v>
      </c>
      <c r="I10">
        <v>0.79602032806115142</v>
      </c>
      <c r="J10">
        <v>0.73184014158701305</v>
      </c>
      <c r="K10">
        <v>0.65968492089968411</v>
      </c>
      <c r="L10">
        <v>0.58752970021235595</v>
      </c>
      <c r="M10">
        <v>0.51706221515019235</v>
      </c>
      <c r="N10">
        <v>0.44659473008802458</v>
      </c>
      <c r="O10">
        <v>0.44933695222692882</v>
      </c>
      <c r="P10">
        <v>0.34800844965314309</v>
      </c>
      <c r="Q10">
        <v>0.27400422482657882</v>
      </c>
      <c r="R10">
        <v>0.2</v>
      </c>
      <c r="S10">
        <v>0.33644211881661001</v>
      </c>
      <c r="T10">
        <v>0.26822105940830498</v>
      </c>
      <c r="U10">
        <v>0.2</v>
      </c>
      <c r="V10">
        <v>0.2</v>
      </c>
      <c r="W10">
        <v>0.2</v>
      </c>
      <c r="X10">
        <v>0.2</v>
      </c>
      <c r="Y10">
        <v>0.2</v>
      </c>
    </row>
    <row r="11" spans="1:25" x14ac:dyDescent="0.2">
      <c r="A11" s="1" t="s">
        <v>101</v>
      </c>
      <c r="B11">
        <v>0.2</v>
      </c>
      <c r="C11">
        <v>0.2</v>
      </c>
      <c r="D11">
        <v>0.5</v>
      </c>
      <c r="E11">
        <v>0.8</v>
      </c>
      <c r="F11">
        <v>1</v>
      </c>
      <c r="G11">
        <v>0.91058903526021939</v>
      </c>
      <c r="H11">
        <v>0.82117807052043879</v>
      </c>
      <c r="I11">
        <v>0.74937481412370155</v>
      </c>
      <c r="J11">
        <v>0.67757155772696431</v>
      </c>
      <c r="K11">
        <v>0.59648636840090719</v>
      </c>
      <c r="L11">
        <v>0.53148718456187072</v>
      </c>
      <c r="M11">
        <v>0.58595171499980192</v>
      </c>
      <c r="N11">
        <v>0.58595171499980192</v>
      </c>
      <c r="O11">
        <v>0.5090028993789194</v>
      </c>
      <c r="P11">
        <v>0.43205408375803678</v>
      </c>
      <c r="Q11">
        <v>0.35510526813715432</v>
      </c>
      <c r="R11">
        <v>0.27755263406857711</v>
      </c>
      <c r="S11">
        <v>0.2</v>
      </c>
      <c r="T11">
        <v>0.2</v>
      </c>
      <c r="U11">
        <v>0.2</v>
      </c>
      <c r="V11">
        <v>0.2</v>
      </c>
      <c r="W11">
        <v>0.2</v>
      </c>
      <c r="X11">
        <v>0.2</v>
      </c>
      <c r="Y11">
        <v>0.2</v>
      </c>
    </row>
    <row r="12" spans="1:25" x14ac:dyDescent="0.2">
      <c r="A12" s="1" t="s">
        <v>102</v>
      </c>
      <c r="B12">
        <v>0.2</v>
      </c>
      <c r="C12">
        <v>0.2</v>
      </c>
      <c r="D12">
        <v>0.5</v>
      </c>
      <c r="E12">
        <v>0.5</v>
      </c>
      <c r="F12">
        <v>0.8</v>
      </c>
      <c r="G12">
        <v>0.73193127989689932</v>
      </c>
      <c r="H12">
        <v>0.6479002235320056</v>
      </c>
      <c r="I12">
        <v>0.56386916716711277</v>
      </c>
      <c r="J12">
        <v>0.48208651595591129</v>
      </c>
      <c r="K12">
        <v>0.40030386474470292</v>
      </c>
      <c r="L12">
        <v>0.70030386474467476</v>
      </c>
      <c r="M12">
        <v>0.61167986964315657</v>
      </c>
      <c r="N12">
        <v>0.52305587454163971</v>
      </c>
      <c r="O12">
        <v>0.42153309949585233</v>
      </c>
      <c r="P12">
        <v>0.32001032445006261</v>
      </c>
      <c r="Q12">
        <v>0.26838258538653409</v>
      </c>
      <c r="R12">
        <v>0.29277690371343601</v>
      </c>
      <c r="S12">
        <v>0.2</v>
      </c>
      <c r="T12">
        <v>0.36855853939345917</v>
      </c>
      <c r="U12">
        <v>0.28427926969672718</v>
      </c>
      <c r="V12">
        <v>0.2</v>
      </c>
      <c r="W12">
        <v>0.2</v>
      </c>
      <c r="X12">
        <v>0.2</v>
      </c>
      <c r="Y12">
        <v>0.2</v>
      </c>
    </row>
    <row r="13" spans="1:25" x14ac:dyDescent="0.2">
      <c r="A13" s="1" t="s">
        <v>103</v>
      </c>
      <c r="B13">
        <v>0.2</v>
      </c>
      <c r="C13">
        <v>0.2</v>
      </c>
      <c r="D13">
        <v>0.5</v>
      </c>
      <c r="E13">
        <v>0.8</v>
      </c>
      <c r="F13">
        <v>0.8</v>
      </c>
      <c r="G13">
        <v>0.70540052830464883</v>
      </c>
      <c r="H13">
        <v>0.62137187388790416</v>
      </c>
      <c r="I13">
        <v>0.53734321947115948</v>
      </c>
      <c r="J13">
        <v>0.45331456505441492</v>
      </c>
      <c r="K13">
        <v>0.62108309207490153</v>
      </c>
      <c r="L13">
        <v>0.54676172195031658</v>
      </c>
      <c r="M13">
        <v>0.47244035182573169</v>
      </c>
      <c r="N13">
        <v>0.39612251558862399</v>
      </c>
      <c r="O13">
        <v>0.31980467935151619</v>
      </c>
      <c r="P13">
        <v>0.25990233967575788</v>
      </c>
      <c r="Q13">
        <v>0.2</v>
      </c>
      <c r="R13">
        <v>0.35840321478910597</v>
      </c>
      <c r="S13">
        <v>0.2792016073945614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</row>
    <row r="14" spans="1:25" x14ac:dyDescent="0.2">
      <c r="A14" s="1" t="s">
        <v>104</v>
      </c>
      <c r="B14">
        <v>0.2</v>
      </c>
      <c r="C14">
        <v>0.5</v>
      </c>
      <c r="D14">
        <v>0.5</v>
      </c>
      <c r="E14">
        <v>0.5</v>
      </c>
      <c r="F14">
        <v>0.8</v>
      </c>
      <c r="G14">
        <v>0.71544357244854417</v>
      </c>
      <c r="H14">
        <v>0.63088714489709641</v>
      </c>
      <c r="I14">
        <v>0.54953969210684828</v>
      </c>
      <c r="J14">
        <v>0.46819223931659792</v>
      </c>
      <c r="K14">
        <v>0.73840993647785613</v>
      </c>
      <c r="L14">
        <v>0.66133190216364035</v>
      </c>
      <c r="M14">
        <v>0.58425386784942457</v>
      </c>
      <c r="N14">
        <v>0.50042243061014224</v>
      </c>
      <c r="O14">
        <v>0.41659099337085981</v>
      </c>
      <c r="P14">
        <v>0.35751063019119328</v>
      </c>
      <c r="Q14">
        <v>0.29843026701152692</v>
      </c>
      <c r="R14">
        <v>0.2</v>
      </c>
      <c r="S14">
        <v>0.2</v>
      </c>
      <c r="T14">
        <v>0.2</v>
      </c>
      <c r="U14">
        <v>0.2</v>
      </c>
      <c r="V14">
        <v>0.36603567314127089</v>
      </c>
      <c r="W14">
        <v>0.28301783657063551</v>
      </c>
      <c r="X14">
        <v>0.2</v>
      </c>
      <c r="Y14">
        <v>0.2</v>
      </c>
    </row>
    <row r="15" spans="1:25" x14ac:dyDescent="0.2">
      <c r="A15" s="1" t="s">
        <v>105</v>
      </c>
      <c r="B15">
        <v>0.2</v>
      </c>
      <c r="C15">
        <v>0.2</v>
      </c>
      <c r="D15">
        <v>0.5</v>
      </c>
      <c r="E15">
        <v>0.5</v>
      </c>
      <c r="F15">
        <v>0.5</v>
      </c>
      <c r="G15">
        <v>0.8</v>
      </c>
      <c r="H15">
        <v>0.72417080420266422</v>
      </c>
      <c r="I15">
        <v>0.64947868853575508</v>
      </c>
      <c r="J15">
        <v>0.84583470819648032</v>
      </c>
      <c r="K15">
        <v>0.76989374084606843</v>
      </c>
      <c r="L15">
        <v>0.69395277349565654</v>
      </c>
      <c r="M15">
        <v>0.62966773150842248</v>
      </c>
      <c r="N15">
        <v>0.55056137713079933</v>
      </c>
      <c r="O15">
        <v>0.47145502275316209</v>
      </c>
      <c r="P15">
        <v>0.40427531491264951</v>
      </c>
      <c r="Q15">
        <v>0.33902530142129161</v>
      </c>
      <c r="R15">
        <v>0.27377528792992378</v>
      </c>
      <c r="S15">
        <v>0.2</v>
      </c>
      <c r="T15">
        <v>0.2</v>
      </c>
      <c r="U15">
        <v>0.28321797082084582</v>
      </c>
      <c r="V15">
        <v>0.28321797082084582</v>
      </c>
      <c r="W15">
        <v>0.2</v>
      </c>
      <c r="X15">
        <v>0.2</v>
      </c>
      <c r="Y15">
        <v>0.2</v>
      </c>
    </row>
    <row r="16" spans="1:25" x14ac:dyDescent="0.2">
      <c r="A16" s="1" t="s">
        <v>106</v>
      </c>
      <c r="B16">
        <v>0.2</v>
      </c>
      <c r="C16">
        <v>0.5</v>
      </c>
      <c r="D16">
        <v>0.8</v>
      </c>
      <c r="E16">
        <v>0.8</v>
      </c>
      <c r="F16">
        <v>0.8</v>
      </c>
      <c r="G16">
        <v>0.73164250870441971</v>
      </c>
      <c r="H16">
        <v>0.6632850174088365</v>
      </c>
      <c r="I16">
        <v>0.58546510048521339</v>
      </c>
      <c r="J16">
        <v>0.50764518356159272</v>
      </c>
      <c r="K16">
        <v>0.44101248270810528</v>
      </c>
      <c r="L16">
        <v>0.37437978185461812</v>
      </c>
      <c r="M16">
        <v>0.48593226987640781</v>
      </c>
      <c r="N16">
        <v>0.3965773755619314</v>
      </c>
      <c r="O16">
        <v>0.30722248124743479</v>
      </c>
      <c r="P16">
        <v>0.25361124062371931</v>
      </c>
      <c r="Q16">
        <v>0.2</v>
      </c>
      <c r="R16">
        <v>0.3586124652430851</v>
      </c>
      <c r="S16">
        <v>0.27930623262154652</v>
      </c>
      <c r="T16">
        <v>0.2</v>
      </c>
      <c r="U16">
        <v>0.37291148373200522</v>
      </c>
      <c r="V16">
        <v>0.28645574186599199</v>
      </c>
      <c r="W16">
        <v>0.2</v>
      </c>
      <c r="X16">
        <v>0.2</v>
      </c>
      <c r="Y16">
        <v>0.2</v>
      </c>
    </row>
    <row r="17" spans="1:25" x14ac:dyDescent="0.2">
      <c r="A17" s="1" t="s">
        <v>107</v>
      </c>
      <c r="B17">
        <v>0.2</v>
      </c>
      <c r="C17">
        <v>0.2</v>
      </c>
      <c r="D17">
        <v>0.5</v>
      </c>
      <c r="E17">
        <v>0.8</v>
      </c>
      <c r="F17">
        <v>0.8</v>
      </c>
      <c r="G17">
        <v>0.99530739837730686</v>
      </c>
      <c r="H17">
        <v>0.92274210862054096</v>
      </c>
      <c r="I17">
        <v>0.83125529086623318</v>
      </c>
      <c r="J17">
        <v>0.75795091975113493</v>
      </c>
      <c r="K17">
        <v>0.6846465486360499</v>
      </c>
      <c r="L17">
        <v>0.61304670136149531</v>
      </c>
      <c r="M17">
        <v>0.54144685408694015</v>
      </c>
      <c r="N17">
        <v>0.54144685408694015</v>
      </c>
      <c r="O17">
        <v>0.47168747996759158</v>
      </c>
      <c r="P17">
        <v>0.40192810584824312</v>
      </c>
      <c r="Q17">
        <v>0.34726896544775582</v>
      </c>
      <c r="R17">
        <v>0.2736344827238823</v>
      </c>
      <c r="S17">
        <v>0.2</v>
      </c>
      <c r="T17">
        <v>0.2</v>
      </c>
      <c r="U17">
        <v>0.2</v>
      </c>
      <c r="V17">
        <v>0.37096686977812682</v>
      </c>
      <c r="W17">
        <v>0.2854834348890678</v>
      </c>
      <c r="X17">
        <v>0.2</v>
      </c>
      <c r="Y17">
        <v>0.2</v>
      </c>
    </row>
    <row r="18" spans="1:25" x14ac:dyDescent="0.2">
      <c r="A18" s="1" t="s">
        <v>108</v>
      </c>
      <c r="B18">
        <v>0.2</v>
      </c>
      <c r="C18">
        <v>0.2</v>
      </c>
      <c r="D18">
        <v>0.5</v>
      </c>
      <c r="E18">
        <v>0.5</v>
      </c>
      <c r="F18">
        <v>0.8</v>
      </c>
      <c r="G18">
        <v>0.71349752311263748</v>
      </c>
      <c r="H18">
        <v>0.62699504622529678</v>
      </c>
      <c r="I18">
        <v>0.8748997779851968</v>
      </c>
      <c r="J18">
        <v>0.79409855157514098</v>
      </c>
      <c r="K18">
        <v>0.71329732516507616</v>
      </c>
      <c r="L18">
        <v>0.63647675639228818</v>
      </c>
      <c r="M18">
        <v>0.55965618761950231</v>
      </c>
      <c r="N18">
        <v>0.49879217354074917</v>
      </c>
      <c r="O18">
        <v>0.43357856348369639</v>
      </c>
      <c r="P18">
        <v>0.35207547856716581</v>
      </c>
      <c r="Q18">
        <v>0.27603773928358288</v>
      </c>
      <c r="R18">
        <v>0.2</v>
      </c>
      <c r="S18">
        <v>0.2</v>
      </c>
      <c r="T18">
        <v>0.2</v>
      </c>
      <c r="U18">
        <v>0.34625235574270491</v>
      </c>
      <c r="V18">
        <v>0.2731261778713524</v>
      </c>
      <c r="W18">
        <v>0.2</v>
      </c>
      <c r="X18">
        <v>0.2</v>
      </c>
      <c r="Y18">
        <v>0.2</v>
      </c>
    </row>
    <row r="19" spans="1:25" x14ac:dyDescent="0.2">
      <c r="A19" s="1" t="s">
        <v>109</v>
      </c>
      <c r="B19">
        <v>0.2</v>
      </c>
      <c r="C19">
        <v>0.5</v>
      </c>
      <c r="D19">
        <v>0.8</v>
      </c>
      <c r="E19">
        <v>0.8</v>
      </c>
      <c r="F19">
        <v>0.8</v>
      </c>
      <c r="G19">
        <v>0.71925543045193407</v>
      </c>
      <c r="H19">
        <v>0.63851086090387266</v>
      </c>
      <c r="I19">
        <v>0.57932225101230306</v>
      </c>
      <c r="J19">
        <v>0.51347973007210734</v>
      </c>
      <c r="K19">
        <v>0.41557316690305102</v>
      </c>
      <c r="L19">
        <v>0.35204595285175472</v>
      </c>
      <c r="M19">
        <v>0.41387536413402148</v>
      </c>
      <c r="N19">
        <v>0.33734562774433791</v>
      </c>
      <c r="O19">
        <v>0.33734562774433791</v>
      </c>
      <c r="P19">
        <v>0.2718640609303653</v>
      </c>
      <c r="Q19">
        <v>0.2</v>
      </c>
      <c r="R19">
        <v>0.28011727768554451</v>
      </c>
      <c r="S19">
        <v>0.2</v>
      </c>
      <c r="T19">
        <v>0.2</v>
      </c>
      <c r="U19">
        <v>0.3637329174223754</v>
      </c>
      <c r="V19">
        <v>0.28186645871118737</v>
      </c>
      <c r="W19">
        <v>0.2</v>
      </c>
      <c r="X19">
        <v>0.2</v>
      </c>
      <c r="Y19">
        <v>0.2</v>
      </c>
    </row>
    <row r="20" spans="1:25" x14ac:dyDescent="0.2">
      <c r="A20" s="1" t="s">
        <v>110</v>
      </c>
      <c r="B20">
        <v>0.2</v>
      </c>
      <c r="C20">
        <v>0.2</v>
      </c>
      <c r="D20">
        <v>0.5</v>
      </c>
      <c r="E20">
        <v>0.5</v>
      </c>
      <c r="F20">
        <v>0.8</v>
      </c>
      <c r="G20">
        <v>0.7251305058530102</v>
      </c>
      <c r="H20">
        <v>0.66133454136394243</v>
      </c>
      <c r="I20">
        <v>0.59753857687487455</v>
      </c>
      <c r="J20">
        <v>0.51737890547320087</v>
      </c>
      <c r="K20">
        <v>0.78578934352421104</v>
      </c>
      <c r="L20">
        <v>0.69091106134143043</v>
      </c>
      <c r="M20">
        <v>0.59603277915864994</v>
      </c>
      <c r="N20">
        <v>0.59603277915864994</v>
      </c>
      <c r="O20">
        <v>0.49695105042795679</v>
      </c>
      <c r="P20">
        <v>0.42660823187025748</v>
      </c>
      <c r="Q20">
        <v>0.35626541331255812</v>
      </c>
      <c r="R20">
        <v>0.27813270665627898</v>
      </c>
      <c r="S20">
        <v>0.2</v>
      </c>
      <c r="T20">
        <v>0.2</v>
      </c>
      <c r="U20">
        <v>0.3926745158884834</v>
      </c>
      <c r="V20">
        <v>0.29633725794424232</v>
      </c>
      <c r="W20">
        <v>0.2</v>
      </c>
      <c r="X20">
        <v>0.2</v>
      </c>
      <c r="Y20">
        <v>0.2</v>
      </c>
    </row>
    <row r="21" spans="1:25" x14ac:dyDescent="0.2">
      <c r="A21" s="1" t="s">
        <v>111</v>
      </c>
      <c r="B21">
        <v>0.2</v>
      </c>
      <c r="C21">
        <v>0.2</v>
      </c>
      <c r="D21">
        <v>0.2</v>
      </c>
      <c r="E21">
        <v>0.5</v>
      </c>
      <c r="F21">
        <v>0.5</v>
      </c>
      <c r="G21">
        <v>0.8</v>
      </c>
      <c r="H21">
        <v>0.73553713881567828</v>
      </c>
      <c r="I21">
        <v>0.67107427763135319</v>
      </c>
      <c r="J21">
        <v>0.89350205391557036</v>
      </c>
      <c r="K21">
        <v>0.82612154875593768</v>
      </c>
      <c r="L21">
        <v>0.74374101455456876</v>
      </c>
      <c r="M21">
        <v>0.67747922871625854</v>
      </c>
      <c r="N21">
        <v>0.57597018877474793</v>
      </c>
      <c r="O21">
        <v>0.47446114883327117</v>
      </c>
      <c r="P21">
        <v>0.40538210288587889</v>
      </c>
      <c r="Q21">
        <v>0.33630305693848977</v>
      </c>
      <c r="R21">
        <v>0.26815152846924473</v>
      </c>
      <c r="S21">
        <v>0.2</v>
      </c>
      <c r="T21">
        <v>0.2</v>
      </c>
      <c r="U21">
        <v>0.2</v>
      </c>
      <c r="V21">
        <v>0.2</v>
      </c>
      <c r="W21">
        <v>0.2</v>
      </c>
      <c r="X21">
        <v>0.2</v>
      </c>
      <c r="Y21">
        <v>0.2</v>
      </c>
    </row>
    <row r="22" spans="1:25" x14ac:dyDescent="0.2">
      <c r="A22" s="1" t="s">
        <v>112</v>
      </c>
      <c r="B22">
        <v>0.2</v>
      </c>
      <c r="C22">
        <v>0.2</v>
      </c>
      <c r="D22">
        <v>0.2</v>
      </c>
      <c r="E22">
        <v>0.5</v>
      </c>
      <c r="F22">
        <v>0.5</v>
      </c>
      <c r="G22">
        <v>0.8</v>
      </c>
      <c r="H22">
        <v>0.71099392711420273</v>
      </c>
      <c r="I22">
        <v>0.61639742547326148</v>
      </c>
      <c r="J22">
        <v>0.55105243213065191</v>
      </c>
      <c r="K22">
        <v>0.70723419422609546</v>
      </c>
      <c r="L22">
        <v>0.62267290956820831</v>
      </c>
      <c r="M22">
        <v>0.53811162491032083</v>
      </c>
      <c r="N22">
        <v>0.45746885594509668</v>
      </c>
      <c r="O22">
        <v>0.37682608697987269</v>
      </c>
      <c r="P22">
        <v>0.3178840579865807</v>
      </c>
      <c r="Q22">
        <v>0.25894202899326901</v>
      </c>
      <c r="R22">
        <v>0.2</v>
      </c>
      <c r="S22">
        <v>0.29646584449269281</v>
      </c>
      <c r="T22">
        <v>0.2</v>
      </c>
      <c r="U22">
        <v>0.2</v>
      </c>
      <c r="V22">
        <v>0.2</v>
      </c>
      <c r="W22">
        <v>0.2</v>
      </c>
      <c r="X22">
        <v>0.2</v>
      </c>
      <c r="Y22">
        <v>0.2</v>
      </c>
    </row>
    <row r="23" spans="1:25" x14ac:dyDescent="0.2">
      <c r="A23" s="1" t="s">
        <v>113</v>
      </c>
      <c r="B23">
        <v>0.2</v>
      </c>
      <c r="C23">
        <v>0.5</v>
      </c>
      <c r="D23">
        <v>0.8</v>
      </c>
      <c r="E23">
        <v>0.8</v>
      </c>
      <c r="F23">
        <v>0.8</v>
      </c>
      <c r="G23">
        <v>0.8</v>
      </c>
      <c r="H23">
        <v>0.72521825474829571</v>
      </c>
      <c r="I23">
        <v>0.65043650949661003</v>
      </c>
      <c r="J23">
        <v>0.58770158325442456</v>
      </c>
      <c r="K23">
        <v>0.52496665701224465</v>
      </c>
      <c r="L23">
        <v>0.44153837322938971</v>
      </c>
      <c r="M23">
        <v>0.35811008944653422</v>
      </c>
      <c r="N23">
        <v>0.49971532200174362</v>
      </c>
      <c r="O23">
        <v>0.40531532499257739</v>
      </c>
      <c r="P23">
        <v>0.33200392940954571</v>
      </c>
      <c r="Q23">
        <v>0.25869253382651403</v>
      </c>
      <c r="R23">
        <v>0.2</v>
      </c>
      <c r="S23">
        <v>0.28283687695585269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</row>
    <row r="24" spans="1:25" x14ac:dyDescent="0.2">
      <c r="A24" s="1" t="s">
        <v>114</v>
      </c>
      <c r="B24">
        <v>0.2</v>
      </c>
      <c r="C24">
        <v>0.5</v>
      </c>
      <c r="D24">
        <v>0.5</v>
      </c>
      <c r="E24">
        <v>0.8</v>
      </c>
      <c r="F24">
        <v>0.8</v>
      </c>
      <c r="G24">
        <v>0.71112156242373048</v>
      </c>
      <c r="H24">
        <v>0.62224312484746647</v>
      </c>
      <c r="I24">
        <v>0.5537048771451144</v>
      </c>
      <c r="J24">
        <v>0.47251717243298452</v>
      </c>
      <c r="K24">
        <v>0.39132946772085109</v>
      </c>
      <c r="L24">
        <v>0.66910408331232307</v>
      </c>
      <c r="M24">
        <v>0.59162746965564084</v>
      </c>
      <c r="N24">
        <v>0.52718980373318236</v>
      </c>
      <c r="O24">
        <v>0.43271374057544409</v>
      </c>
      <c r="P24">
        <v>0.33823767741770522</v>
      </c>
      <c r="Q24">
        <v>0.26911883870885372</v>
      </c>
      <c r="R24">
        <v>0.2</v>
      </c>
      <c r="S24">
        <v>0.35621370822888049</v>
      </c>
      <c r="T24">
        <v>0.27810685411419223</v>
      </c>
      <c r="U24">
        <v>0.2</v>
      </c>
      <c r="V24">
        <v>0.2</v>
      </c>
      <c r="W24">
        <v>0.2</v>
      </c>
      <c r="X24">
        <v>0.2</v>
      </c>
      <c r="Y24">
        <v>0.2</v>
      </c>
    </row>
    <row r="25" spans="1:25" x14ac:dyDescent="0.2">
      <c r="A25" s="1" t="s">
        <v>115</v>
      </c>
      <c r="B25">
        <v>0.2</v>
      </c>
      <c r="C25">
        <v>0.5</v>
      </c>
      <c r="D25">
        <v>0.8</v>
      </c>
      <c r="E25">
        <v>0.8</v>
      </c>
      <c r="F25">
        <v>1</v>
      </c>
      <c r="G25">
        <v>0.92566050707206127</v>
      </c>
      <c r="H25">
        <v>0.85132101414412242</v>
      </c>
      <c r="I25">
        <v>0.77014193671930542</v>
      </c>
      <c r="J25">
        <v>0.68896285929448842</v>
      </c>
      <c r="K25">
        <v>0.60910436151469816</v>
      </c>
      <c r="L25">
        <v>0.52924586373490801</v>
      </c>
      <c r="M25">
        <v>0.45415971380809278</v>
      </c>
      <c r="N25">
        <v>0.51104997961656995</v>
      </c>
      <c r="O25">
        <v>0.51104997961656995</v>
      </c>
      <c r="P25">
        <v>0.44159937883017542</v>
      </c>
      <c r="Q25">
        <v>0.3721487780437811</v>
      </c>
      <c r="R25">
        <v>0.28607438902189519</v>
      </c>
      <c r="S25">
        <v>0.2</v>
      </c>
      <c r="T25">
        <v>0.36407659408551601</v>
      </c>
      <c r="U25">
        <v>0.28203829704275801</v>
      </c>
      <c r="V25">
        <v>0.2</v>
      </c>
      <c r="W25">
        <v>0.2</v>
      </c>
      <c r="X25">
        <v>0.2</v>
      </c>
      <c r="Y25">
        <v>0.2</v>
      </c>
    </row>
    <row r="26" spans="1:25" x14ac:dyDescent="0.2">
      <c r="A26" s="1" t="s">
        <v>116</v>
      </c>
      <c r="B26">
        <v>0.2</v>
      </c>
      <c r="C26">
        <v>0.5</v>
      </c>
      <c r="D26">
        <v>0.8</v>
      </c>
      <c r="E26">
        <v>0.8</v>
      </c>
      <c r="F26">
        <v>0.8</v>
      </c>
      <c r="G26">
        <v>1</v>
      </c>
      <c r="H26">
        <v>0.92515885173395629</v>
      </c>
      <c r="I26">
        <v>0.84370509031080554</v>
      </c>
      <c r="J26">
        <v>0.76225132888765379</v>
      </c>
      <c r="K26">
        <v>0.68047678869753825</v>
      </c>
      <c r="L26">
        <v>0.59870224850742493</v>
      </c>
      <c r="M26">
        <v>0.51747032422246075</v>
      </c>
      <c r="N26">
        <v>0.43623839993750357</v>
      </c>
      <c r="O26">
        <v>0.49317204199313458</v>
      </c>
      <c r="P26">
        <v>0.42662452236002613</v>
      </c>
      <c r="Q26">
        <v>0.36007700272691279</v>
      </c>
      <c r="R26">
        <v>0.28003850136344449</v>
      </c>
      <c r="S26">
        <v>0.2</v>
      </c>
      <c r="T26">
        <v>0.36777295172231128</v>
      </c>
      <c r="U26">
        <v>0.28388647586115567</v>
      </c>
      <c r="V26">
        <v>0.2</v>
      </c>
      <c r="W26">
        <v>0.2</v>
      </c>
      <c r="X26">
        <v>0.2</v>
      </c>
      <c r="Y26">
        <v>0.2</v>
      </c>
    </row>
    <row r="27" spans="1:25" x14ac:dyDescent="0.2">
      <c r="A27" s="1" t="s">
        <v>117</v>
      </c>
      <c r="B27">
        <v>0.2</v>
      </c>
      <c r="C27">
        <v>0.2</v>
      </c>
      <c r="D27">
        <v>0.2</v>
      </c>
      <c r="E27">
        <v>0.5</v>
      </c>
      <c r="F27">
        <v>0.8</v>
      </c>
      <c r="G27">
        <v>0.70062539850281413</v>
      </c>
      <c r="H27">
        <v>0.60125079700562822</v>
      </c>
      <c r="I27">
        <v>0.5250345360451828</v>
      </c>
      <c r="J27">
        <v>0.82070628120699718</v>
      </c>
      <c r="K27">
        <v>0.73641660634791162</v>
      </c>
      <c r="L27">
        <v>0.65212693148882594</v>
      </c>
      <c r="M27">
        <v>0.56888376547006736</v>
      </c>
      <c r="N27">
        <v>0.48564059945130872</v>
      </c>
      <c r="O27">
        <v>0.48564059945130028</v>
      </c>
      <c r="P27">
        <v>0.41905881065041539</v>
      </c>
      <c r="Q27">
        <v>0.35247702184952973</v>
      </c>
      <c r="R27">
        <v>0.27623851092476492</v>
      </c>
      <c r="S27">
        <v>0.2</v>
      </c>
      <c r="T27">
        <v>0.2</v>
      </c>
      <c r="U27">
        <v>0.2</v>
      </c>
      <c r="V27">
        <v>0.2</v>
      </c>
      <c r="W27">
        <v>0.2</v>
      </c>
      <c r="X27">
        <v>0.2</v>
      </c>
      <c r="Y27">
        <v>0.2</v>
      </c>
    </row>
    <row r="28" spans="1:25" x14ac:dyDescent="0.2">
      <c r="A28" s="1" t="s">
        <v>118</v>
      </c>
      <c r="B28">
        <v>0.2</v>
      </c>
      <c r="C28">
        <v>0.5</v>
      </c>
      <c r="D28">
        <v>0.5</v>
      </c>
      <c r="E28">
        <v>0.8</v>
      </c>
      <c r="F28">
        <v>1</v>
      </c>
      <c r="G28">
        <v>0.90222388614546545</v>
      </c>
      <c r="H28">
        <v>0.80444777229093078</v>
      </c>
      <c r="I28">
        <v>0.74111279226376259</v>
      </c>
      <c r="J28">
        <v>0.64248863141898171</v>
      </c>
      <c r="K28">
        <v>0.55800976448465367</v>
      </c>
      <c r="L28">
        <v>0.4735308975503229</v>
      </c>
      <c r="M28">
        <v>0.49250843596680588</v>
      </c>
      <c r="N28">
        <v>0.49250843596680588</v>
      </c>
      <c r="O28">
        <v>0.40949609359504741</v>
      </c>
      <c r="P28">
        <v>0.32648375122328871</v>
      </c>
      <c r="Q28">
        <v>0.32648375122328871</v>
      </c>
      <c r="R28">
        <v>0.26324187561164442</v>
      </c>
      <c r="S28">
        <v>0.2</v>
      </c>
      <c r="T28">
        <v>0.28149978487282418</v>
      </c>
      <c r="U28">
        <v>0.2</v>
      </c>
      <c r="V28">
        <v>0.27286538189733578</v>
      </c>
      <c r="W28">
        <v>0.2</v>
      </c>
      <c r="X28">
        <v>0.2</v>
      </c>
      <c r="Y28">
        <v>0.2</v>
      </c>
    </row>
    <row r="29" spans="1:25" x14ac:dyDescent="0.2">
      <c r="A29" s="1" t="s">
        <v>119</v>
      </c>
      <c r="B29">
        <v>0.2</v>
      </c>
      <c r="C29">
        <v>0.5</v>
      </c>
      <c r="D29">
        <v>0.5</v>
      </c>
      <c r="E29">
        <v>0.5</v>
      </c>
      <c r="F29">
        <v>0.7</v>
      </c>
      <c r="G29">
        <v>1</v>
      </c>
      <c r="H29">
        <v>0.92203673562488631</v>
      </c>
      <c r="I29">
        <v>0.84000837057642141</v>
      </c>
      <c r="J29">
        <v>0.75798000552795453</v>
      </c>
      <c r="K29">
        <v>0.66903367808188785</v>
      </c>
      <c r="L29">
        <v>0.58008735063581995</v>
      </c>
      <c r="M29">
        <v>0.58008735063581995</v>
      </c>
      <c r="N29">
        <v>0.5834314921764121</v>
      </c>
      <c r="O29">
        <v>0.50704705490574176</v>
      </c>
      <c r="P29">
        <v>0.43066261763507158</v>
      </c>
      <c r="Q29">
        <v>0.34988622233261668</v>
      </c>
      <c r="R29">
        <v>0.26910982703016179</v>
      </c>
      <c r="S29">
        <v>0.2</v>
      </c>
      <c r="T29">
        <v>0.38616419801408369</v>
      </c>
      <c r="U29">
        <v>0.29308209900704191</v>
      </c>
      <c r="V29">
        <v>0.2</v>
      </c>
      <c r="W29">
        <v>0.2</v>
      </c>
      <c r="X29">
        <v>0.2</v>
      </c>
      <c r="Y29">
        <v>0.2</v>
      </c>
    </row>
    <row r="30" spans="1:25" x14ac:dyDescent="0.2">
      <c r="A30" s="1" t="s">
        <v>120</v>
      </c>
      <c r="B30">
        <v>0.2</v>
      </c>
      <c r="C30">
        <v>0.2</v>
      </c>
      <c r="D30">
        <v>0.5</v>
      </c>
      <c r="E30">
        <v>0.8</v>
      </c>
      <c r="F30">
        <v>1</v>
      </c>
      <c r="G30">
        <v>0.93222094374763098</v>
      </c>
      <c r="H30">
        <v>0.86444188749527917</v>
      </c>
      <c r="I30">
        <v>0.78207329333368036</v>
      </c>
      <c r="J30">
        <v>0.69970469917208145</v>
      </c>
      <c r="K30">
        <v>0.62183985471386471</v>
      </c>
      <c r="L30">
        <v>0.54397501025564798</v>
      </c>
      <c r="M30">
        <v>0.46340478466602991</v>
      </c>
      <c r="N30">
        <v>0.38283455907641167</v>
      </c>
      <c r="O30">
        <v>0.38283455907641167</v>
      </c>
      <c r="P30">
        <v>0.32204551352793093</v>
      </c>
      <c r="Q30">
        <v>0.2612564679794499</v>
      </c>
      <c r="R30">
        <v>0.20046742243096899</v>
      </c>
      <c r="S30">
        <v>0.20046742243096899</v>
      </c>
      <c r="T30">
        <v>0.20046742243096899</v>
      </c>
      <c r="U30">
        <v>0.20046742243096899</v>
      </c>
      <c r="V30">
        <v>0.38489593656497512</v>
      </c>
      <c r="W30">
        <v>0.29244796828248748</v>
      </c>
      <c r="X30">
        <v>0.2</v>
      </c>
      <c r="Y30">
        <v>0.2</v>
      </c>
    </row>
    <row r="31" spans="1:25" x14ac:dyDescent="0.2">
      <c r="A31" s="1" t="s">
        <v>121</v>
      </c>
      <c r="B31">
        <v>0.2</v>
      </c>
      <c r="C31">
        <v>0.2</v>
      </c>
      <c r="D31">
        <v>0.5</v>
      </c>
      <c r="E31">
        <v>0.8</v>
      </c>
      <c r="F31">
        <v>0.72446304714579102</v>
      </c>
      <c r="G31">
        <v>0.64892609429158221</v>
      </c>
      <c r="H31">
        <v>0.58666284573376615</v>
      </c>
      <c r="I31">
        <v>0.50834881764514805</v>
      </c>
      <c r="J31">
        <v>0.43003478955653002</v>
      </c>
      <c r="K31">
        <v>0.61552215875618621</v>
      </c>
      <c r="L31">
        <v>0.54431506496991966</v>
      </c>
      <c r="M31">
        <v>0.47310797118365289</v>
      </c>
      <c r="N31">
        <v>0.47310797118365289</v>
      </c>
      <c r="O31">
        <v>0.39793141260785281</v>
      </c>
      <c r="P31">
        <v>0.32275485403205251</v>
      </c>
      <c r="Q31">
        <v>0.26102390596673453</v>
      </c>
      <c r="R31">
        <v>0.2</v>
      </c>
      <c r="S31">
        <v>0.2</v>
      </c>
      <c r="T31">
        <v>0.2</v>
      </c>
      <c r="U31">
        <v>0.2</v>
      </c>
      <c r="V31">
        <v>0.2</v>
      </c>
      <c r="W31">
        <v>0.2</v>
      </c>
      <c r="X31">
        <v>0.2</v>
      </c>
      <c r="Y31">
        <v>0.2</v>
      </c>
    </row>
    <row r="32" spans="1:25" x14ac:dyDescent="0.2">
      <c r="A32" s="1" t="s">
        <v>122</v>
      </c>
      <c r="B32">
        <v>0.2</v>
      </c>
      <c r="C32">
        <v>0.2</v>
      </c>
      <c r="D32">
        <v>0.2</v>
      </c>
      <c r="E32">
        <v>0.2</v>
      </c>
      <c r="F32">
        <v>0.2</v>
      </c>
      <c r="G32">
        <v>0.5</v>
      </c>
      <c r="H32">
        <v>0.8</v>
      </c>
      <c r="I32">
        <v>0.71808982147736733</v>
      </c>
      <c r="J32">
        <v>0.63617964295473306</v>
      </c>
      <c r="K32">
        <v>0.73029324122543016</v>
      </c>
      <c r="L32">
        <v>0.66588520064333834</v>
      </c>
      <c r="M32">
        <v>0.59541531053794183</v>
      </c>
      <c r="N32">
        <v>0.52494542043254433</v>
      </c>
      <c r="O32">
        <v>0.45339651999510988</v>
      </c>
      <c r="P32">
        <v>0.38184761955768048</v>
      </c>
      <c r="Q32">
        <v>0.32394186020621452</v>
      </c>
      <c r="R32">
        <v>0.26603610085473051</v>
      </c>
      <c r="S32">
        <v>0.2</v>
      </c>
      <c r="T32">
        <v>0.2</v>
      </c>
      <c r="U32">
        <v>0.2</v>
      </c>
      <c r="V32">
        <v>0.2</v>
      </c>
      <c r="W32">
        <v>0.2</v>
      </c>
      <c r="X32">
        <v>0.2</v>
      </c>
      <c r="Y32">
        <v>0.2</v>
      </c>
    </row>
    <row r="33" spans="1:25" x14ac:dyDescent="0.2">
      <c r="A33" s="1" t="s">
        <v>123</v>
      </c>
      <c r="B33">
        <v>0.2</v>
      </c>
      <c r="C33">
        <v>0.5</v>
      </c>
      <c r="D33">
        <v>0.8</v>
      </c>
      <c r="E33">
        <v>0.8</v>
      </c>
      <c r="F33">
        <v>0.8</v>
      </c>
      <c r="G33">
        <v>0.72246189951903172</v>
      </c>
      <c r="H33">
        <v>0.64492379903808172</v>
      </c>
      <c r="I33">
        <v>0.58098396114962669</v>
      </c>
      <c r="J33">
        <v>0.75371326624267598</v>
      </c>
      <c r="K33">
        <v>0.68698951999910574</v>
      </c>
      <c r="L33">
        <v>0.6202657737555356</v>
      </c>
      <c r="M33">
        <v>0.5308004807385962</v>
      </c>
      <c r="N33">
        <v>0.44133518772165647</v>
      </c>
      <c r="O33">
        <v>0.35893380799088548</v>
      </c>
      <c r="P33">
        <v>0.27653242826011298</v>
      </c>
      <c r="Q33">
        <v>0.2</v>
      </c>
      <c r="R33">
        <v>0.37160604308867778</v>
      </c>
      <c r="S33">
        <v>0.28580302154433868</v>
      </c>
      <c r="T33">
        <v>0.2</v>
      </c>
      <c r="U33">
        <v>0.2</v>
      </c>
      <c r="V33">
        <v>0.2</v>
      </c>
      <c r="W33">
        <v>0.2</v>
      </c>
      <c r="X33">
        <v>0.2</v>
      </c>
      <c r="Y33">
        <v>0.2</v>
      </c>
    </row>
    <row r="34" spans="1:25" x14ac:dyDescent="0.2">
      <c r="A34" s="1" t="s">
        <v>124</v>
      </c>
      <c r="B34">
        <v>0.2</v>
      </c>
      <c r="C34">
        <v>0.2</v>
      </c>
      <c r="D34">
        <v>0.5</v>
      </c>
      <c r="E34">
        <v>0.5</v>
      </c>
      <c r="F34">
        <v>0.5</v>
      </c>
      <c r="G34">
        <v>0.8</v>
      </c>
      <c r="H34">
        <v>0.72923818051607647</v>
      </c>
      <c r="I34">
        <v>0.6584763610321499</v>
      </c>
      <c r="J34">
        <v>0.57357406614635298</v>
      </c>
      <c r="K34">
        <v>0.48867177126055539</v>
      </c>
      <c r="L34">
        <v>0.71767719871013858</v>
      </c>
      <c r="M34">
        <v>0.61622074450381048</v>
      </c>
      <c r="N34">
        <v>0.51476429029748227</v>
      </c>
      <c r="O34">
        <v>0.44056502416344101</v>
      </c>
      <c r="P34">
        <v>0.36636575802940352</v>
      </c>
      <c r="Q34">
        <v>0.28318287901470368</v>
      </c>
      <c r="R34">
        <v>0.2</v>
      </c>
      <c r="S34">
        <v>0.2</v>
      </c>
      <c r="T34">
        <v>0.2</v>
      </c>
      <c r="U34">
        <v>0.28315406623738709</v>
      </c>
      <c r="V34">
        <v>0.2</v>
      </c>
      <c r="W34">
        <v>0.2</v>
      </c>
      <c r="X34">
        <v>0.2</v>
      </c>
      <c r="Y34">
        <v>0.2</v>
      </c>
    </row>
    <row r="35" spans="1:25" x14ac:dyDescent="0.2">
      <c r="A35" s="1" t="s">
        <v>125</v>
      </c>
      <c r="B35">
        <v>0.2</v>
      </c>
      <c r="C35">
        <v>0.5</v>
      </c>
      <c r="D35">
        <v>0.5</v>
      </c>
      <c r="E35">
        <v>0.5</v>
      </c>
      <c r="F35">
        <v>0.8</v>
      </c>
      <c r="G35">
        <v>0.73488980671723236</v>
      </c>
      <c r="H35">
        <v>0.6574479626268136</v>
      </c>
      <c r="I35">
        <v>0.5584112332684934</v>
      </c>
      <c r="J35">
        <v>0.85841123326848767</v>
      </c>
      <c r="K35">
        <v>0.76656308957205677</v>
      </c>
      <c r="L35">
        <v>0.67471494587562575</v>
      </c>
      <c r="M35">
        <v>0.60400839549825525</v>
      </c>
      <c r="N35">
        <v>0.53330184512088463</v>
      </c>
      <c r="O35">
        <v>0.46252735252486338</v>
      </c>
      <c r="P35">
        <v>0.39175285992883818</v>
      </c>
      <c r="Q35">
        <v>0.32613637674687029</v>
      </c>
      <c r="R35">
        <v>0.26051989356490268</v>
      </c>
      <c r="S35">
        <v>0.30957168301993121</v>
      </c>
      <c r="T35">
        <v>0.2</v>
      </c>
      <c r="U35">
        <v>0.2</v>
      </c>
      <c r="V35">
        <v>0.2</v>
      </c>
      <c r="W35">
        <v>0.2</v>
      </c>
      <c r="X35">
        <v>0.2</v>
      </c>
      <c r="Y35">
        <v>0.2</v>
      </c>
    </row>
    <row r="36" spans="1:25" x14ac:dyDescent="0.2">
      <c r="A36" s="1" t="s">
        <v>126</v>
      </c>
      <c r="B36">
        <v>0.2</v>
      </c>
      <c r="C36">
        <v>0.2</v>
      </c>
      <c r="D36">
        <v>0.2</v>
      </c>
      <c r="E36">
        <v>0.5</v>
      </c>
      <c r="F36">
        <v>0.5</v>
      </c>
      <c r="G36">
        <v>0.8</v>
      </c>
      <c r="H36">
        <v>0.70851059353004486</v>
      </c>
      <c r="I36">
        <v>0.61702118706008968</v>
      </c>
      <c r="J36">
        <v>0.52567681412605671</v>
      </c>
      <c r="K36">
        <v>0.43433244119202369</v>
      </c>
      <c r="L36">
        <v>0.70698987870991969</v>
      </c>
      <c r="M36">
        <v>0.61562015414692317</v>
      </c>
      <c r="N36">
        <v>0.53853736115375439</v>
      </c>
      <c r="O36">
        <v>0.46145456816058578</v>
      </c>
      <c r="P36">
        <v>0.40036578694048258</v>
      </c>
      <c r="Q36">
        <v>0.33927700572037772</v>
      </c>
      <c r="R36">
        <v>0.26963850286018942</v>
      </c>
      <c r="S36">
        <v>0.2</v>
      </c>
      <c r="T36">
        <v>0.2</v>
      </c>
      <c r="U36">
        <v>0.2</v>
      </c>
      <c r="V36">
        <v>0.2</v>
      </c>
      <c r="W36">
        <v>0.2</v>
      </c>
      <c r="X36">
        <v>0.2</v>
      </c>
      <c r="Y36">
        <v>0.2</v>
      </c>
    </row>
    <row r="37" spans="1:25" x14ac:dyDescent="0.2">
      <c r="A37" s="1" t="s">
        <v>127</v>
      </c>
      <c r="B37">
        <v>0.2</v>
      </c>
      <c r="C37">
        <v>0.2</v>
      </c>
      <c r="D37">
        <v>0.5</v>
      </c>
      <c r="E37">
        <v>0.8</v>
      </c>
      <c r="F37">
        <v>0.8</v>
      </c>
      <c r="G37">
        <v>0.70885103159741492</v>
      </c>
      <c r="H37">
        <v>0.61770206319482601</v>
      </c>
      <c r="I37">
        <v>0.5369587650321368</v>
      </c>
      <c r="J37">
        <v>0.82610571265976485</v>
      </c>
      <c r="K37">
        <v>0.73665662380364194</v>
      </c>
      <c r="L37">
        <v>0.64720753494751471</v>
      </c>
      <c r="M37">
        <v>0.58081973538278509</v>
      </c>
      <c r="N37">
        <v>0.51443193581806501</v>
      </c>
      <c r="O37">
        <v>0.45086846263870978</v>
      </c>
      <c r="P37">
        <v>0.38730498945935449</v>
      </c>
      <c r="Q37">
        <v>0.3282410143611546</v>
      </c>
      <c r="R37">
        <v>0.26917703926295472</v>
      </c>
      <c r="S37">
        <v>0.26917703926295472</v>
      </c>
      <c r="T37">
        <v>0.2</v>
      </c>
      <c r="U37">
        <v>0.2</v>
      </c>
      <c r="V37">
        <v>0.2</v>
      </c>
      <c r="W37">
        <v>0.2</v>
      </c>
      <c r="X37">
        <v>0.2</v>
      </c>
      <c r="Y37">
        <v>0.2</v>
      </c>
    </row>
    <row r="38" spans="1:25" x14ac:dyDescent="0.2">
      <c r="A38" s="1" t="s">
        <v>128</v>
      </c>
      <c r="B38">
        <v>0.2</v>
      </c>
      <c r="C38">
        <v>0.2</v>
      </c>
      <c r="D38">
        <v>0.5</v>
      </c>
      <c r="E38">
        <v>0.8</v>
      </c>
      <c r="F38">
        <v>0.8</v>
      </c>
      <c r="G38">
        <v>0.72966363733955186</v>
      </c>
      <c r="H38">
        <v>0.6593272746790656</v>
      </c>
      <c r="I38">
        <v>0.57215119397665015</v>
      </c>
      <c r="J38">
        <v>0.48497511327423459</v>
      </c>
      <c r="K38">
        <v>0.78497511327423464</v>
      </c>
      <c r="L38">
        <v>0.68326572675804453</v>
      </c>
      <c r="M38">
        <v>0.58215166830603948</v>
      </c>
      <c r="N38">
        <v>0.59163438625640941</v>
      </c>
      <c r="O38">
        <v>0.52717970735813147</v>
      </c>
      <c r="P38">
        <v>0.46272502845985358</v>
      </c>
      <c r="Q38">
        <v>0.40094762053633648</v>
      </c>
      <c r="R38">
        <v>0.33917021261281938</v>
      </c>
      <c r="S38">
        <v>0.26958510630640969</v>
      </c>
      <c r="T38">
        <v>0.2</v>
      </c>
      <c r="U38">
        <v>0.2</v>
      </c>
      <c r="V38">
        <v>0.39475238244104122</v>
      </c>
      <c r="W38">
        <v>0.29737619122052061</v>
      </c>
      <c r="X38">
        <v>0.2</v>
      </c>
      <c r="Y38">
        <v>0.2</v>
      </c>
    </row>
    <row r="39" spans="1:25" x14ac:dyDescent="0.2">
      <c r="A39" s="1" t="s">
        <v>129</v>
      </c>
      <c r="B39">
        <v>0.2</v>
      </c>
      <c r="C39">
        <v>0.5</v>
      </c>
      <c r="D39">
        <v>0.8</v>
      </c>
      <c r="E39">
        <v>0.8</v>
      </c>
      <c r="F39">
        <v>0.8</v>
      </c>
      <c r="G39">
        <v>0.74026575117537741</v>
      </c>
      <c r="H39">
        <v>0.68053150235075488</v>
      </c>
      <c r="I39">
        <v>0.59102392262291359</v>
      </c>
      <c r="J39">
        <v>0.5015163428950723</v>
      </c>
      <c r="K39">
        <v>0.41436092508584638</v>
      </c>
      <c r="L39">
        <v>0.7143609250858437</v>
      </c>
      <c r="M39">
        <v>0.62956972636942099</v>
      </c>
      <c r="N39">
        <v>0.54477852765299095</v>
      </c>
      <c r="O39">
        <v>0.5745265238989824</v>
      </c>
      <c r="P39">
        <v>0.51160296897302382</v>
      </c>
      <c r="Q39">
        <v>0.44867941404706529</v>
      </c>
      <c r="R39">
        <v>0.38330039218766332</v>
      </c>
      <c r="S39">
        <v>0.29165019609383158</v>
      </c>
      <c r="T39">
        <v>0.2</v>
      </c>
      <c r="U39">
        <v>0.2</v>
      </c>
      <c r="V39">
        <v>0.2</v>
      </c>
      <c r="W39">
        <v>0.2</v>
      </c>
      <c r="X39">
        <v>0.2</v>
      </c>
      <c r="Y39">
        <v>0.2</v>
      </c>
    </row>
    <row r="40" spans="1:25" x14ac:dyDescent="0.2">
      <c r="A40" s="1" t="s">
        <v>130</v>
      </c>
      <c r="B40">
        <v>0.2</v>
      </c>
      <c r="C40">
        <v>0.2</v>
      </c>
      <c r="D40">
        <v>0.5</v>
      </c>
      <c r="E40">
        <v>0.8</v>
      </c>
      <c r="F40">
        <v>0.8</v>
      </c>
      <c r="G40">
        <v>0.72432864283423182</v>
      </c>
      <c r="H40">
        <v>0.64865728566847025</v>
      </c>
      <c r="I40">
        <v>0.56061407130104302</v>
      </c>
      <c r="J40">
        <v>0.47257085693361572</v>
      </c>
      <c r="K40">
        <v>0.72829381606138555</v>
      </c>
      <c r="L40">
        <v>0.66582897010559361</v>
      </c>
      <c r="M40">
        <v>0.5809961687243782</v>
      </c>
      <c r="N40">
        <v>0.49616336734315658</v>
      </c>
      <c r="O40">
        <v>0.41290039362847553</v>
      </c>
      <c r="P40">
        <v>0.32963741991379442</v>
      </c>
      <c r="Q40">
        <v>0.26481870995689621</v>
      </c>
      <c r="R40">
        <v>0.2</v>
      </c>
      <c r="S40">
        <v>0.2</v>
      </c>
      <c r="T40">
        <v>0.42869555023978761</v>
      </c>
      <c r="U40">
        <v>0.31434777511989959</v>
      </c>
      <c r="V40">
        <v>0.2</v>
      </c>
      <c r="W40">
        <v>0.2</v>
      </c>
      <c r="X40">
        <v>0.2</v>
      </c>
      <c r="Y40">
        <v>0.2</v>
      </c>
    </row>
    <row r="41" spans="1:25" x14ac:dyDescent="0.2">
      <c r="A41" s="1" t="s">
        <v>131</v>
      </c>
      <c r="B41">
        <v>0.2</v>
      </c>
      <c r="C41">
        <v>0.2</v>
      </c>
      <c r="D41">
        <v>0.2</v>
      </c>
      <c r="E41">
        <v>0.5</v>
      </c>
      <c r="F41">
        <v>0.5</v>
      </c>
      <c r="G41">
        <v>0.8</v>
      </c>
      <c r="H41">
        <v>0.74370927547884791</v>
      </c>
      <c r="I41">
        <v>0.65322896756219317</v>
      </c>
      <c r="J41">
        <v>0.56274865964554166</v>
      </c>
      <c r="K41">
        <v>0.86274865964554159</v>
      </c>
      <c r="L41">
        <v>0.78819953529480447</v>
      </c>
      <c r="M41">
        <v>0.71365041094407133</v>
      </c>
      <c r="N41">
        <v>0.71365041094407133</v>
      </c>
      <c r="O41">
        <v>0.63660834847008729</v>
      </c>
      <c r="P41">
        <v>0.56300436592500169</v>
      </c>
      <c r="Q41">
        <v>0.48940038337991598</v>
      </c>
      <c r="R41">
        <v>0.38795105483325842</v>
      </c>
      <c r="S41">
        <v>0.30734158938240969</v>
      </c>
      <c r="T41">
        <v>0.34895582539855241</v>
      </c>
      <c r="U41">
        <v>0.27447791269927618</v>
      </c>
      <c r="V41">
        <v>0.2</v>
      </c>
      <c r="W41">
        <v>0.2</v>
      </c>
      <c r="X41">
        <v>0.2</v>
      </c>
      <c r="Y41">
        <v>0.2</v>
      </c>
    </row>
    <row r="42" spans="1:25" x14ac:dyDescent="0.2">
      <c r="A42" s="1" t="s">
        <v>132</v>
      </c>
      <c r="B42">
        <v>0.2</v>
      </c>
      <c r="C42">
        <v>0.2</v>
      </c>
      <c r="D42">
        <v>0.2</v>
      </c>
      <c r="E42">
        <v>0.2</v>
      </c>
      <c r="F42">
        <v>0.5</v>
      </c>
      <c r="G42">
        <v>0.8</v>
      </c>
      <c r="H42">
        <v>0.73874612326921063</v>
      </c>
      <c r="I42">
        <v>0.6752665987539842</v>
      </c>
      <c r="J42">
        <v>0.61178707423876588</v>
      </c>
      <c r="K42">
        <v>0.69062722727174197</v>
      </c>
      <c r="L42">
        <v>0.62316858826754218</v>
      </c>
      <c r="M42">
        <v>0.55576943581445459</v>
      </c>
      <c r="N42">
        <v>0.48837028336136701</v>
      </c>
      <c r="O42">
        <v>0.40801561323906888</v>
      </c>
      <c r="P42">
        <v>0.32766094311677102</v>
      </c>
      <c r="Q42">
        <v>0.26383047155838729</v>
      </c>
      <c r="R42">
        <v>0.2</v>
      </c>
      <c r="S42">
        <v>0.2</v>
      </c>
      <c r="T42">
        <v>0.2</v>
      </c>
      <c r="U42">
        <v>0.35536354214573312</v>
      </c>
      <c r="V42">
        <v>0.27768177107286562</v>
      </c>
      <c r="W42">
        <v>0.2</v>
      </c>
      <c r="X42">
        <v>0.2</v>
      </c>
      <c r="Y42">
        <v>0.2</v>
      </c>
    </row>
    <row r="43" spans="1:25" x14ac:dyDescent="0.2">
      <c r="A43" s="1" t="s">
        <v>133</v>
      </c>
      <c r="B43">
        <v>0.2</v>
      </c>
      <c r="C43">
        <v>0.2</v>
      </c>
      <c r="D43">
        <v>0.2</v>
      </c>
      <c r="E43">
        <v>0.5</v>
      </c>
      <c r="F43">
        <v>0.5</v>
      </c>
      <c r="G43">
        <v>0.8</v>
      </c>
      <c r="H43">
        <v>0.99532315393595205</v>
      </c>
      <c r="I43">
        <v>0.92264168712475758</v>
      </c>
      <c r="J43">
        <v>0.84996022031356322</v>
      </c>
      <c r="K43">
        <v>0.76925627660755458</v>
      </c>
      <c r="L43">
        <v>0.68855233290154583</v>
      </c>
      <c r="M43">
        <v>0.58746865881558485</v>
      </c>
      <c r="N43">
        <v>0.58746865881558485</v>
      </c>
      <c r="O43">
        <v>0.506782346432747</v>
      </c>
      <c r="P43">
        <v>0.42609603404990909</v>
      </c>
      <c r="Q43">
        <v>0.35073068936660401</v>
      </c>
      <c r="R43">
        <v>0.27536534468329887</v>
      </c>
      <c r="S43">
        <v>0.2</v>
      </c>
      <c r="T43">
        <v>0.2</v>
      </c>
      <c r="U43">
        <v>0.2</v>
      </c>
      <c r="V43">
        <v>0.2</v>
      </c>
      <c r="W43">
        <v>0.2</v>
      </c>
      <c r="X43">
        <v>0.2</v>
      </c>
      <c r="Y43">
        <v>0.2</v>
      </c>
    </row>
    <row r="44" spans="1:25" x14ac:dyDescent="0.2">
      <c r="A44" s="1" t="s">
        <v>134</v>
      </c>
      <c r="B44">
        <v>0.2</v>
      </c>
      <c r="C44">
        <v>0.2</v>
      </c>
      <c r="D44">
        <v>0.5</v>
      </c>
      <c r="E44">
        <v>0.8</v>
      </c>
      <c r="F44">
        <v>1</v>
      </c>
      <c r="G44">
        <v>0.92601489025224659</v>
      </c>
      <c r="H44">
        <v>0.85202978050450606</v>
      </c>
      <c r="I44">
        <v>0.77842732425397854</v>
      </c>
      <c r="J44">
        <v>0.7048248680034398</v>
      </c>
      <c r="K44">
        <v>0.6202428444643211</v>
      </c>
      <c r="L44">
        <v>0.53566082092521239</v>
      </c>
      <c r="M44">
        <v>0.53566082092520584</v>
      </c>
      <c r="N44">
        <v>0.53566082092520584</v>
      </c>
      <c r="O44">
        <v>0.46927541682260049</v>
      </c>
      <c r="P44">
        <v>0.40299247254726261</v>
      </c>
      <c r="Q44">
        <v>0.33670952827192452</v>
      </c>
      <c r="R44">
        <v>0.27054873862958978</v>
      </c>
      <c r="S44">
        <v>0.20438794898725521</v>
      </c>
      <c r="T44">
        <v>0.20438794898725521</v>
      </c>
      <c r="U44">
        <v>0.20438794898725521</v>
      </c>
      <c r="V44">
        <v>0.4397619253046266</v>
      </c>
      <c r="W44">
        <v>0.31988096265231469</v>
      </c>
      <c r="X44">
        <v>0.2</v>
      </c>
      <c r="Y44">
        <v>0.2</v>
      </c>
    </row>
    <row r="45" spans="1:25" x14ac:dyDescent="0.2">
      <c r="A45" s="1" t="s">
        <v>135</v>
      </c>
      <c r="B45">
        <v>0.2</v>
      </c>
      <c r="C45">
        <v>0.5</v>
      </c>
      <c r="D45">
        <v>0.8</v>
      </c>
      <c r="E45">
        <v>0.8</v>
      </c>
      <c r="F45">
        <v>1</v>
      </c>
      <c r="G45">
        <v>0.92179304146639107</v>
      </c>
      <c r="H45">
        <v>0.84358608293278781</v>
      </c>
      <c r="I45">
        <v>0.77298913421978444</v>
      </c>
      <c r="J45">
        <v>0.70239218550677374</v>
      </c>
      <c r="K45">
        <v>0.87401706667411194</v>
      </c>
      <c r="L45">
        <v>0.77918678217146098</v>
      </c>
      <c r="M45">
        <v>0.71872710882796542</v>
      </c>
      <c r="N45">
        <v>0.65826743548446298</v>
      </c>
      <c r="O45">
        <v>0.58465076837117536</v>
      </c>
      <c r="P45">
        <v>0.51103410125789273</v>
      </c>
      <c r="Q45">
        <v>0.43751451008494741</v>
      </c>
      <c r="R45">
        <v>0.36399491891199598</v>
      </c>
      <c r="S45">
        <v>0.28199745945599602</v>
      </c>
      <c r="T45">
        <v>0.2</v>
      </c>
      <c r="U45">
        <v>0.2</v>
      </c>
      <c r="V45">
        <v>0.2</v>
      </c>
      <c r="W45">
        <v>0.29162172993997071</v>
      </c>
      <c r="X45">
        <v>0.2</v>
      </c>
      <c r="Y45">
        <v>0.2</v>
      </c>
    </row>
    <row r="46" spans="1:25" x14ac:dyDescent="0.2">
      <c r="A46" s="1" t="s">
        <v>136</v>
      </c>
      <c r="B46">
        <v>0.2</v>
      </c>
      <c r="C46">
        <v>0.2</v>
      </c>
      <c r="D46">
        <v>0.5</v>
      </c>
      <c r="E46">
        <v>0.5</v>
      </c>
      <c r="F46">
        <v>0.8</v>
      </c>
      <c r="G46">
        <v>0.70719652207787764</v>
      </c>
      <c r="H46">
        <v>0.61439304415574914</v>
      </c>
      <c r="I46">
        <v>0.55083069579711841</v>
      </c>
      <c r="J46">
        <v>0.48726834743849212</v>
      </c>
      <c r="K46">
        <v>0.42079685771369357</v>
      </c>
      <c r="L46">
        <v>0.60234779674192462</v>
      </c>
      <c r="M46">
        <v>0.60234779674193761</v>
      </c>
      <c r="N46">
        <v>0.53552119832254264</v>
      </c>
      <c r="O46">
        <v>0.53552119832254264</v>
      </c>
      <c r="P46">
        <v>0.45937836247066433</v>
      </c>
      <c r="Q46">
        <v>0.38323552661878602</v>
      </c>
      <c r="R46">
        <v>0.29161776330939282</v>
      </c>
      <c r="S46">
        <v>0.2</v>
      </c>
      <c r="T46">
        <v>0.28387073322802769</v>
      </c>
      <c r="U46">
        <v>0.2</v>
      </c>
      <c r="V46">
        <v>0.2</v>
      </c>
      <c r="W46">
        <v>0.2</v>
      </c>
      <c r="X46">
        <v>0.2</v>
      </c>
      <c r="Y46">
        <v>0.2</v>
      </c>
    </row>
    <row r="47" spans="1:25" x14ac:dyDescent="0.2">
      <c r="A47" s="1" t="s">
        <v>137</v>
      </c>
      <c r="B47">
        <v>0.2</v>
      </c>
      <c r="C47">
        <v>0.2</v>
      </c>
      <c r="D47">
        <v>0.2</v>
      </c>
      <c r="E47">
        <v>0.5</v>
      </c>
      <c r="F47">
        <v>0.5</v>
      </c>
      <c r="G47">
        <v>0.8</v>
      </c>
      <c r="H47">
        <v>0.72275446515011788</v>
      </c>
      <c r="I47">
        <v>0.64550893030023571</v>
      </c>
      <c r="J47">
        <v>0.90542744168458511</v>
      </c>
      <c r="K47">
        <v>0.84002959151181311</v>
      </c>
      <c r="L47">
        <v>0.840029591511811</v>
      </c>
      <c r="M47">
        <v>0.77839039995526638</v>
      </c>
      <c r="N47">
        <v>0.71451971388585123</v>
      </c>
      <c r="O47">
        <v>0.64695696834898109</v>
      </c>
      <c r="P47">
        <v>0.57939422281211084</v>
      </c>
      <c r="Q47">
        <v>0.51442980488373458</v>
      </c>
      <c r="R47">
        <v>0.43169281514114349</v>
      </c>
      <c r="S47">
        <v>0.34895582539855208</v>
      </c>
      <c r="T47">
        <v>0.27447791269927618</v>
      </c>
      <c r="U47">
        <v>0.2</v>
      </c>
      <c r="V47">
        <v>0.2</v>
      </c>
      <c r="W47">
        <v>0.2</v>
      </c>
      <c r="X47">
        <v>0.2</v>
      </c>
      <c r="Y47">
        <v>0.2</v>
      </c>
    </row>
    <row r="48" spans="1:25" x14ac:dyDescent="0.2">
      <c r="A48" s="1" t="s">
        <v>138</v>
      </c>
      <c r="B48">
        <v>0.2</v>
      </c>
      <c r="C48">
        <v>0.2</v>
      </c>
      <c r="D48">
        <v>0.2</v>
      </c>
      <c r="E48">
        <v>0.2</v>
      </c>
      <c r="F48">
        <v>0.5</v>
      </c>
      <c r="G48">
        <v>0.8</v>
      </c>
      <c r="H48">
        <v>0.72354819915066104</v>
      </c>
      <c r="I48">
        <v>0.64709639830128696</v>
      </c>
      <c r="J48">
        <v>0.58157159732393471</v>
      </c>
      <c r="K48">
        <v>0.88043495755625489</v>
      </c>
      <c r="L48">
        <v>0.7854077545514514</v>
      </c>
      <c r="M48">
        <v>0.69038055154664557</v>
      </c>
      <c r="N48">
        <v>0.62725869810087209</v>
      </c>
      <c r="O48">
        <v>0.56413684465508818</v>
      </c>
      <c r="P48">
        <v>0.49513973465252559</v>
      </c>
      <c r="Q48">
        <v>0.4261426246499686</v>
      </c>
      <c r="R48">
        <v>0.36714163416498541</v>
      </c>
      <c r="S48">
        <v>0.28357081708248999</v>
      </c>
      <c r="T48">
        <v>0.2</v>
      </c>
      <c r="U48">
        <v>0.2</v>
      </c>
      <c r="V48">
        <v>0.2</v>
      </c>
      <c r="W48">
        <v>0.2</v>
      </c>
      <c r="X48">
        <v>0.2</v>
      </c>
      <c r="Y48">
        <v>0.2</v>
      </c>
    </row>
    <row r="49" spans="1:25" x14ac:dyDescent="0.2">
      <c r="A49" s="1" t="s">
        <v>139</v>
      </c>
      <c r="B49">
        <v>0.2</v>
      </c>
      <c r="C49">
        <v>0.5</v>
      </c>
      <c r="D49">
        <v>0.5</v>
      </c>
      <c r="E49">
        <v>0.5</v>
      </c>
      <c r="F49">
        <v>0.5</v>
      </c>
      <c r="G49">
        <v>0.8</v>
      </c>
      <c r="H49">
        <v>0.72339920553979897</v>
      </c>
      <c r="I49">
        <v>0.64679841107959657</v>
      </c>
      <c r="J49">
        <v>0.58000893743773507</v>
      </c>
      <c r="K49">
        <v>0.51321946379587624</v>
      </c>
      <c r="L49">
        <v>0.44890563194368938</v>
      </c>
      <c r="M49">
        <v>0.38459180009150262</v>
      </c>
      <c r="N49">
        <v>0.38459180009150262</v>
      </c>
      <c r="O49">
        <v>0.42071597678148609</v>
      </c>
      <c r="P49">
        <v>0.3562997432607235</v>
      </c>
      <c r="Q49">
        <v>0.29188350973996102</v>
      </c>
      <c r="R49">
        <v>0.2</v>
      </c>
      <c r="S49">
        <v>0.37097623327184748</v>
      </c>
      <c r="T49">
        <v>0.37097623327184748</v>
      </c>
      <c r="U49">
        <v>0.28548811663592338</v>
      </c>
      <c r="V49">
        <v>0.2</v>
      </c>
      <c r="W49">
        <v>0.2</v>
      </c>
      <c r="X49">
        <v>0.2</v>
      </c>
      <c r="Y49">
        <v>0.2</v>
      </c>
    </row>
    <row r="50" spans="1:25" x14ac:dyDescent="0.2">
      <c r="A50" s="1" t="s">
        <v>140</v>
      </c>
      <c r="B50">
        <v>0.2</v>
      </c>
      <c r="C50">
        <v>0.2</v>
      </c>
      <c r="D50">
        <v>0.2</v>
      </c>
      <c r="E50">
        <v>0.2</v>
      </c>
      <c r="F50">
        <v>0.2</v>
      </c>
      <c r="G50">
        <v>0.5</v>
      </c>
      <c r="H50">
        <v>0.42965729985607648</v>
      </c>
      <c r="I50">
        <v>0.35931459971215501</v>
      </c>
      <c r="J50">
        <v>0.659314599712155</v>
      </c>
      <c r="K50">
        <v>0.90262122177277715</v>
      </c>
      <c r="L50">
        <v>0.83989633017032717</v>
      </c>
      <c r="M50">
        <v>0.77717143856787729</v>
      </c>
      <c r="N50">
        <v>0.69338686117461923</v>
      </c>
      <c r="O50">
        <v>0.60960228378136117</v>
      </c>
      <c r="P50">
        <v>0.54154225940800949</v>
      </c>
      <c r="Q50">
        <v>0.47348223503465781</v>
      </c>
      <c r="R50">
        <v>0.38232149002310528</v>
      </c>
      <c r="S50">
        <v>0.29116074501155348</v>
      </c>
      <c r="T50">
        <v>0.2</v>
      </c>
      <c r="U50">
        <v>0.2</v>
      </c>
      <c r="V50">
        <v>0.2</v>
      </c>
      <c r="W50">
        <v>0.2</v>
      </c>
      <c r="X50">
        <v>0.2</v>
      </c>
      <c r="Y50">
        <v>0.2</v>
      </c>
    </row>
    <row r="51" spans="1:25" x14ac:dyDescent="0.2">
      <c r="A51" s="1" t="s">
        <v>141</v>
      </c>
      <c r="B51">
        <v>0.2</v>
      </c>
      <c r="C51">
        <v>0.2</v>
      </c>
      <c r="D51">
        <v>0.2</v>
      </c>
      <c r="E51">
        <v>0.5</v>
      </c>
      <c r="F51">
        <v>0.5</v>
      </c>
      <c r="G51">
        <v>0.42383271417620039</v>
      </c>
      <c r="H51">
        <v>0.34766542835239139</v>
      </c>
      <c r="I51">
        <v>0.25825103534895338</v>
      </c>
      <c r="J51">
        <v>0.3443402379031506</v>
      </c>
      <c r="K51">
        <v>0.64434023790315165</v>
      </c>
      <c r="L51">
        <v>0.55689205983136669</v>
      </c>
      <c r="M51">
        <v>0.4694438817595783</v>
      </c>
      <c r="N51">
        <v>0.3955453434787724</v>
      </c>
      <c r="O51">
        <v>0.32164680519796601</v>
      </c>
      <c r="P51">
        <v>0.26082340259898051</v>
      </c>
      <c r="Q51">
        <v>0.2</v>
      </c>
      <c r="R51">
        <v>0.36764899935215428</v>
      </c>
      <c r="S51">
        <v>0.28382449967607709</v>
      </c>
      <c r="T51">
        <v>0.2</v>
      </c>
      <c r="U51">
        <v>0.2</v>
      </c>
      <c r="V51">
        <v>0.37287678615435588</v>
      </c>
      <c r="W51">
        <v>0.28643839307717811</v>
      </c>
      <c r="X51">
        <v>0.2</v>
      </c>
      <c r="Y51">
        <v>0.2</v>
      </c>
    </row>
    <row r="52" spans="1:25" x14ac:dyDescent="0.2">
      <c r="A52" s="1" t="s">
        <v>142</v>
      </c>
      <c r="B52">
        <v>0.2</v>
      </c>
      <c r="C52">
        <v>0.2</v>
      </c>
      <c r="D52">
        <v>0.5</v>
      </c>
      <c r="E52">
        <v>0.5</v>
      </c>
      <c r="F52">
        <v>0.7</v>
      </c>
      <c r="G52">
        <v>1</v>
      </c>
      <c r="H52">
        <v>0.9305861107009421</v>
      </c>
      <c r="I52">
        <v>0.86117222140188587</v>
      </c>
      <c r="J52">
        <v>0.76891314422142765</v>
      </c>
      <c r="K52">
        <v>0.67665406704096942</v>
      </c>
      <c r="L52">
        <v>0.58846880713195815</v>
      </c>
      <c r="M52">
        <v>0.50028354722294699</v>
      </c>
      <c r="N52">
        <v>0.42272099484447428</v>
      </c>
      <c r="O52">
        <v>0.35205102700239382</v>
      </c>
      <c r="P52">
        <v>0.2813810591603117</v>
      </c>
      <c r="Q52">
        <v>0.20523990070049089</v>
      </c>
      <c r="R52">
        <v>0.20523990070049089</v>
      </c>
      <c r="S52">
        <v>0.38383528102266401</v>
      </c>
      <c r="T52">
        <v>0.29191764051133529</v>
      </c>
      <c r="U52">
        <v>0.2</v>
      </c>
      <c r="V52">
        <v>0.28872787359089802</v>
      </c>
      <c r="W52">
        <v>0.2</v>
      </c>
      <c r="X52">
        <v>0.2</v>
      </c>
      <c r="Y52">
        <v>0.2</v>
      </c>
    </row>
    <row r="53" spans="1:25" x14ac:dyDescent="0.2">
      <c r="A53" s="1" t="s">
        <v>143</v>
      </c>
      <c r="B53">
        <v>0.2</v>
      </c>
      <c r="C53">
        <v>0.2</v>
      </c>
      <c r="D53">
        <v>0.5</v>
      </c>
      <c r="E53">
        <v>0.5</v>
      </c>
      <c r="F53">
        <v>0.79999993482982079</v>
      </c>
      <c r="G53">
        <v>0.70552883553950074</v>
      </c>
      <c r="H53">
        <v>0.63803310159111204</v>
      </c>
      <c r="I53">
        <v>0.57053736764272334</v>
      </c>
      <c r="J53">
        <v>0.46453083743376983</v>
      </c>
      <c r="K53">
        <v>0.35852430722481649</v>
      </c>
      <c r="L53">
        <v>0.62058458548194728</v>
      </c>
      <c r="M53">
        <v>0.54431526928850971</v>
      </c>
      <c r="N53">
        <v>0.47709616671566712</v>
      </c>
      <c r="O53">
        <v>0.40987706414282449</v>
      </c>
      <c r="P53">
        <v>0.34913851016870079</v>
      </c>
      <c r="Q53">
        <v>0.27456925508434482</v>
      </c>
      <c r="R53">
        <v>0.2</v>
      </c>
      <c r="S53">
        <v>0.2</v>
      </c>
      <c r="T53">
        <v>0.2</v>
      </c>
      <c r="U53">
        <v>0.2</v>
      </c>
      <c r="V53">
        <v>0.2</v>
      </c>
      <c r="W53">
        <v>0.2</v>
      </c>
      <c r="X53">
        <v>0.2</v>
      </c>
      <c r="Y53">
        <v>0.2</v>
      </c>
    </row>
    <row r="54" spans="1:25" x14ac:dyDescent="0.2">
      <c r="A54" s="1" t="s">
        <v>144</v>
      </c>
      <c r="B54">
        <v>0.2</v>
      </c>
      <c r="C54">
        <v>0.5</v>
      </c>
      <c r="D54">
        <v>0.5</v>
      </c>
      <c r="E54">
        <v>0.8</v>
      </c>
      <c r="F54">
        <v>0.8</v>
      </c>
      <c r="G54">
        <v>0.8</v>
      </c>
      <c r="H54">
        <v>0.72396255754266181</v>
      </c>
      <c r="I54">
        <v>0.64792511508532358</v>
      </c>
      <c r="J54">
        <v>0.56930186003826155</v>
      </c>
      <c r="K54">
        <v>0.49365148937504821</v>
      </c>
      <c r="L54">
        <v>0.79293119489874908</v>
      </c>
      <c r="M54">
        <v>0.71837564285502364</v>
      </c>
      <c r="N54">
        <v>0.64382009081129832</v>
      </c>
      <c r="O54">
        <v>0.56975418764325281</v>
      </c>
      <c r="P54">
        <v>0.50253558981209279</v>
      </c>
      <c r="Q54">
        <v>0.43531699198093271</v>
      </c>
      <c r="R54">
        <v>0.35861289474376101</v>
      </c>
      <c r="S54">
        <v>0.27930644737188048</v>
      </c>
      <c r="T54">
        <v>0.2</v>
      </c>
      <c r="U54">
        <v>0.2</v>
      </c>
      <c r="V54">
        <v>0.31069245090364189</v>
      </c>
      <c r="W54">
        <v>0.31069245090364189</v>
      </c>
      <c r="X54">
        <v>0.2</v>
      </c>
      <c r="Y54">
        <v>0.2</v>
      </c>
    </row>
    <row r="55" spans="1:25" x14ac:dyDescent="0.2">
      <c r="A55" s="1" t="s">
        <v>145</v>
      </c>
      <c r="B55">
        <v>0.2</v>
      </c>
      <c r="C55">
        <v>0.2</v>
      </c>
      <c r="D55">
        <v>0.2</v>
      </c>
      <c r="E55">
        <v>0.5</v>
      </c>
      <c r="F55">
        <v>0.8</v>
      </c>
      <c r="G55">
        <v>1</v>
      </c>
      <c r="H55">
        <v>0.93146709138102546</v>
      </c>
      <c r="I55">
        <v>0.86293418276205125</v>
      </c>
      <c r="J55">
        <v>0.77231938100795972</v>
      </c>
      <c r="K55">
        <v>0.68170457925386829</v>
      </c>
      <c r="L55">
        <v>0.61531677968916743</v>
      </c>
      <c r="M55">
        <v>0.68134925861395212</v>
      </c>
      <c r="N55">
        <v>0.60774490789873781</v>
      </c>
      <c r="O55">
        <v>0.53414055718352327</v>
      </c>
      <c r="P55">
        <v>0.46131209351803287</v>
      </c>
      <c r="Q55">
        <v>0.38848362985254242</v>
      </c>
      <c r="R55">
        <v>0.29424181492627122</v>
      </c>
      <c r="S55">
        <v>0.2</v>
      </c>
      <c r="T55">
        <v>0.2</v>
      </c>
      <c r="U55">
        <v>0.2</v>
      </c>
      <c r="V55">
        <v>0.2</v>
      </c>
      <c r="W55">
        <v>0.26883854160873721</v>
      </c>
      <c r="X55">
        <v>0.2</v>
      </c>
      <c r="Y55">
        <v>0.2</v>
      </c>
    </row>
    <row r="56" spans="1:25" x14ac:dyDescent="0.2">
      <c r="A56" s="1" t="s">
        <v>146</v>
      </c>
      <c r="B56">
        <v>0.2</v>
      </c>
      <c r="C56">
        <v>0.5</v>
      </c>
      <c r="D56">
        <v>0.5</v>
      </c>
      <c r="E56">
        <v>0.8</v>
      </c>
      <c r="F56">
        <v>0.72933016297467479</v>
      </c>
      <c r="G56">
        <v>0.65866032594934965</v>
      </c>
      <c r="H56">
        <v>0.58200389782488671</v>
      </c>
      <c r="I56">
        <v>0.50534746970042377</v>
      </c>
      <c r="J56">
        <v>0.69245954005578725</v>
      </c>
      <c r="K56">
        <v>0.62993986822793735</v>
      </c>
      <c r="L56">
        <v>0.56742019640008734</v>
      </c>
      <c r="M56">
        <v>0.56742019640008245</v>
      </c>
      <c r="N56">
        <v>0.56742019640008245</v>
      </c>
      <c r="O56">
        <v>0.49700337753891061</v>
      </c>
      <c r="P56">
        <v>0.42658655867774159</v>
      </c>
      <c r="Q56">
        <v>0.34440680700878068</v>
      </c>
      <c r="R56">
        <v>0.26222705533981228</v>
      </c>
      <c r="S56">
        <v>0.2</v>
      </c>
      <c r="T56">
        <v>0.2</v>
      </c>
      <c r="U56">
        <v>0.36445502575751171</v>
      </c>
      <c r="V56">
        <v>0.27582103044786649</v>
      </c>
      <c r="W56">
        <v>0.27582103044786649</v>
      </c>
      <c r="X56">
        <v>0.2</v>
      </c>
      <c r="Y56">
        <v>0.2</v>
      </c>
    </row>
    <row r="57" spans="1:25" x14ac:dyDescent="0.2">
      <c r="A57" s="1" t="s">
        <v>147</v>
      </c>
      <c r="B57">
        <v>0.2</v>
      </c>
      <c r="C57">
        <v>0.5</v>
      </c>
      <c r="D57">
        <v>0.5</v>
      </c>
      <c r="E57">
        <v>0.8</v>
      </c>
      <c r="F57">
        <v>0.8</v>
      </c>
      <c r="G57">
        <v>0.70873275349303477</v>
      </c>
      <c r="H57">
        <v>0.61746550698606961</v>
      </c>
      <c r="I57">
        <v>0.54523467106429124</v>
      </c>
      <c r="J57">
        <v>0.47795917575797159</v>
      </c>
      <c r="K57">
        <v>0.41068368045165199</v>
      </c>
      <c r="L57">
        <v>0.64842435341763893</v>
      </c>
      <c r="M57">
        <v>0.57403043837545353</v>
      </c>
      <c r="N57">
        <v>0.49963652333326819</v>
      </c>
      <c r="O57">
        <v>0.42007055418237321</v>
      </c>
      <c r="P57">
        <v>0.34050458503147718</v>
      </c>
      <c r="Q57">
        <v>0.28192232372390258</v>
      </c>
      <c r="R57">
        <v>0.2</v>
      </c>
      <c r="S57">
        <v>0.2</v>
      </c>
      <c r="T57">
        <v>0.2</v>
      </c>
      <c r="U57">
        <v>0.2</v>
      </c>
      <c r="V57">
        <v>0.2</v>
      </c>
      <c r="W57">
        <v>0.2</v>
      </c>
      <c r="X57">
        <v>0.2</v>
      </c>
      <c r="Y57">
        <v>0.2</v>
      </c>
    </row>
    <row r="58" spans="1:25" x14ac:dyDescent="0.2">
      <c r="A58" s="1" t="s">
        <v>148</v>
      </c>
      <c r="B58">
        <v>0.2</v>
      </c>
      <c r="C58">
        <v>0.2</v>
      </c>
      <c r="D58">
        <v>0.2</v>
      </c>
      <c r="E58">
        <v>0.2</v>
      </c>
      <c r="F58">
        <v>0.5</v>
      </c>
      <c r="G58">
        <v>0.8</v>
      </c>
      <c r="H58">
        <v>0.72185225775820183</v>
      </c>
      <c r="I58">
        <v>0.64974342327221357</v>
      </c>
      <c r="J58">
        <v>0.5776345887862252</v>
      </c>
      <c r="K58">
        <v>0.49182581911015127</v>
      </c>
      <c r="L58">
        <v>0.40601704943407729</v>
      </c>
      <c r="M58">
        <v>0.32020827975800331</v>
      </c>
      <c r="N58">
        <v>0.32020827975800331</v>
      </c>
      <c r="O58">
        <v>0.38120413826780603</v>
      </c>
      <c r="P58">
        <v>0.3168446377725247</v>
      </c>
      <c r="Q58">
        <v>0.25842231888626233</v>
      </c>
      <c r="R58">
        <v>0.2</v>
      </c>
      <c r="S58">
        <v>0.2</v>
      </c>
      <c r="T58">
        <v>0.2</v>
      </c>
      <c r="U58">
        <v>0.37069876434220039</v>
      </c>
      <c r="V58">
        <v>0.28534938217110017</v>
      </c>
      <c r="W58">
        <v>0.2</v>
      </c>
      <c r="X58">
        <v>0.2</v>
      </c>
      <c r="Y58">
        <v>0.2</v>
      </c>
    </row>
    <row r="59" spans="1:25" x14ac:dyDescent="0.2">
      <c r="A59" s="1" t="s">
        <v>149</v>
      </c>
      <c r="B59">
        <v>0.2</v>
      </c>
      <c r="C59">
        <v>0.5</v>
      </c>
      <c r="D59">
        <v>0.5</v>
      </c>
      <c r="E59">
        <v>0.8</v>
      </c>
      <c r="F59">
        <v>0.70681756694929687</v>
      </c>
      <c r="G59">
        <v>0.6136351338985937</v>
      </c>
      <c r="H59">
        <v>0.53957375142490316</v>
      </c>
      <c r="I59">
        <v>0.46551236895121262</v>
      </c>
      <c r="J59">
        <v>0.76551236895120245</v>
      </c>
      <c r="K59">
        <v>0.66015996451144154</v>
      </c>
      <c r="L59">
        <v>0.58244638198200127</v>
      </c>
      <c r="M59">
        <v>0.504732799452561</v>
      </c>
      <c r="N59">
        <v>0.42392576496559631</v>
      </c>
      <c r="O59">
        <v>0.34311873047862013</v>
      </c>
      <c r="P59">
        <v>0.29125311000444248</v>
      </c>
      <c r="Q59">
        <v>0.23938748953026501</v>
      </c>
      <c r="R59">
        <v>0.44392282837991293</v>
      </c>
      <c r="S59">
        <v>0.36083825661532448</v>
      </c>
      <c r="T59">
        <v>0.27775368485073559</v>
      </c>
      <c r="U59">
        <v>0.2</v>
      </c>
      <c r="V59">
        <v>0.30812088825459072</v>
      </c>
      <c r="W59">
        <v>0.30812088825459072</v>
      </c>
      <c r="X59">
        <v>0.2</v>
      </c>
      <c r="Y59">
        <v>0.2</v>
      </c>
    </row>
    <row r="60" spans="1:25" x14ac:dyDescent="0.2">
      <c r="A60" s="1" t="s">
        <v>150</v>
      </c>
      <c r="B60">
        <v>0.2</v>
      </c>
      <c r="C60">
        <v>0.5</v>
      </c>
      <c r="D60">
        <v>0.5</v>
      </c>
      <c r="E60">
        <v>0.8</v>
      </c>
      <c r="F60">
        <v>0.8</v>
      </c>
      <c r="G60">
        <v>0.8</v>
      </c>
      <c r="H60">
        <v>0.72156934862953193</v>
      </c>
      <c r="I60">
        <v>0.64313869725906392</v>
      </c>
      <c r="J60">
        <v>0.57676009824712349</v>
      </c>
      <c r="K60">
        <v>0.51038149923518294</v>
      </c>
      <c r="L60">
        <v>0.74955430965411685</v>
      </c>
      <c r="M60">
        <v>0.68701349352045682</v>
      </c>
      <c r="N60">
        <v>0.6244726773867969</v>
      </c>
      <c r="O60">
        <v>0.55143277143449076</v>
      </c>
      <c r="P60">
        <v>0.47839286548218468</v>
      </c>
      <c r="Q60">
        <v>0.4197482195926055</v>
      </c>
      <c r="R60">
        <v>0.36110357370302643</v>
      </c>
      <c r="S60">
        <v>0.28055178685151322</v>
      </c>
      <c r="T60">
        <v>0.2</v>
      </c>
      <c r="U60">
        <v>0.38021599476612772</v>
      </c>
      <c r="V60">
        <v>0.29010799738306392</v>
      </c>
      <c r="W60">
        <v>0.2</v>
      </c>
      <c r="X60">
        <v>0.2</v>
      </c>
      <c r="Y60">
        <v>0.2</v>
      </c>
    </row>
    <row r="61" spans="1:25" x14ac:dyDescent="0.2">
      <c r="A61" s="1" t="s">
        <v>151</v>
      </c>
      <c r="B61">
        <v>0.2</v>
      </c>
      <c r="C61">
        <v>0.2</v>
      </c>
      <c r="D61">
        <v>0.5</v>
      </c>
      <c r="E61">
        <v>0.5</v>
      </c>
      <c r="F61">
        <v>0.5</v>
      </c>
      <c r="G61">
        <v>0.8</v>
      </c>
      <c r="H61">
        <v>0.72497319283880846</v>
      </c>
      <c r="I61">
        <v>0.64994638567762009</v>
      </c>
      <c r="J61">
        <v>0.57218012924229389</v>
      </c>
      <c r="K61">
        <v>0.49441387280696758</v>
      </c>
      <c r="L61">
        <v>0.77153830489153319</v>
      </c>
      <c r="M61">
        <v>0.68681462666172577</v>
      </c>
      <c r="N61">
        <v>0.60209094843191568</v>
      </c>
      <c r="O61">
        <v>0.51736727020210538</v>
      </c>
      <c r="P61">
        <v>0.44111696153273988</v>
      </c>
      <c r="Q61">
        <v>0.36486665286337278</v>
      </c>
      <c r="R61">
        <v>0.30106235421938021</v>
      </c>
      <c r="S61">
        <v>0.2</v>
      </c>
      <c r="T61">
        <v>0.2</v>
      </c>
      <c r="U61">
        <v>0.26677160951047418</v>
      </c>
      <c r="V61">
        <v>0.2</v>
      </c>
      <c r="W61">
        <v>0.2</v>
      </c>
      <c r="X61">
        <v>0.2</v>
      </c>
      <c r="Y61">
        <v>0.2</v>
      </c>
    </row>
    <row r="62" spans="1:25" x14ac:dyDescent="0.2">
      <c r="A62" s="1" t="s">
        <v>152</v>
      </c>
      <c r="B62">
        <v>0.2</v>
      </c>
      <c r="C62">
        <v>0.2</v>
      </c>
      <c r="D62">
        <v>0.5</v>
      </c>
      <c r="E62">
        <v>0.5</v>
      </c>
      <c r="F62">
        <v>0.5</v>
      </c>
      <c r="G62">
        <v>0.8</v>
      </c>
      <c r="H62">
        <v>0.71934624462183583</v>
      </c>
      <c r="I62">
        <v>0.63869248924367161</v>
      </c>
      <c r="J62">
        <v>0.8551017653245454</v>
      </c>
      <c r="K62">
        <v>0.75014835249526512</v>
      </c>
      <c r="L62">
        <v>0.64519493966598485</v>
      </c>
      <c r="M62">
        <v>0.55876251497617302</v>
      </c>
      <c r="N62">
        <v>0.48667641684551433</v>
      </c>
      <c r="O62">
        <v>0.41459031871485558</v>
      </c>
      <c r="P62">
        <v>0.34306021247657031</v>
      </c>
      <c r="Q62">
        <v>0.27153010623828511</v>
      </c>
      <c r="R62">
        <v>0.2</v>
      </c>
      <c r="S62">
        <v>0.3432738055912794</v>
      </c>
      <c r="T62">
        <v>0.26487862487451908</v>
      </c>
      <c r="U62">
        <v>0.2</v>
      </c>
      <c r="V62">
        <v>0.2</v>
      </c>
      <c r="W62">
        <v>0.2</v>
      </c>
      <c r="X62">
        <v>0.2</v>
      </c>
      <c r="Y62">
        <v>0.2</v>
      </c>
    </row>
    <row r="63" spans="1:25" x14ac:dyDescent="0.2">
      <c r="A63" s="1" t="s">
        <v>153</v>
      </c>
      <c r="B63">
        <v>0.2</v>
      </c>
      <c r="C63">
        <v>0.2</v>
      </c>
      <c r="D63">
        <v>0.5</v>
      </c>
      <c r="E63">
        <v>0.8</v>
      </c>
      <c r="F63">
        <v>0.8</v>
      </c>
      <c r="G63">
        <v>0.716786609199352</v>
      </c>
      <c r="H63">
        <v>0.63357321839870018</v>
      </c>
      <c r="I63">
        <v>0.57270187011652984</v>
      </c>
      <c r="J63">
        <v>0.51183052183436994</v>
      </c>
      <c r="K63">
        <v>0.76840913075226103</v>
      </c>
      <c r="L63">
        <v>0.701105660436808</v>
      </c>
      <c r="M63">
        <v>0.63380219012132499</v>
      </c>
      <c r="N63">
        <v>0.57249243632575253</v>
      </c>
      <c r="O63">
        <v>0.51118268253017995</v>
      </c>
      <c r="P63">
        <v>0.43442750492932147</v>
      </c>
      <c r="Q63">
        <v>0.35767232732846038</v>
      </c>
      <c r="R63">
        <v>0.27883616366423652</v>
      </c>
      <c r="S63">
        <v>0.2</v>
      </c>
      <c r="T63">
        <v>0.2</v>
      </c>
      <c r="U63">
        <v>0.2</v>
      </c>
      <c r="V63">
        <v>0.2</v>
      </c>
      <c r="W63">
        <v>0.2</v>
      </c>
      <c r="X63">
        <v>0.2</v>
      </c>
      <c r="Y63">
        <v>0.2</v>
      </c>
    </row>
    <row r="64" spans="1:25" x14ac:dyDescent="0.2">
      <c r="A64" s="1" t="s">
        <v>154</v>
      </c>
      <c r="B64">
        <v>0.2</v>
      </c>
      <c r="C64">
        <v>0.5</v>
      </c>
      <c r="D64">
        <v>0.5</v>
      </c>
      <c r="E64">
        <v>0.5</v>
      </c>
      <c r="F64">
        <v>0.5</v>
      </c>
      <c r="G64">
        <v>0.8</v>
      </c>
      <c r="H64">
        <v>0.70821266812483974</v>
      </c>
      <c r="I64">
        <v>0.6164253362496801</v>
      </c>
      <c r="J64">
        <v>0.8839195548717983</v>
      </c>
      <c r="K64">
        <v>0.79441407642616269</v>
      </c>
      <c r="L64">
        <v>0.70490859798052696</v>
      </c>
      <c r="M64">
        <v>0.641135417820482</v>
      </c>
      <c r="N64">
        <v>0.57053609698430707</v>
      </c>
      <c r="O64">
        <v>0.49993677614813609</v>
      </c>
      <c r="P64">
        <v>0.41819988455912371</v>
      </c>
      <c r="Q64">
        <v>0.33646299297012561</v>
      </c>
      <c r="R64">
        <v>0.26823149648506128</v>
      </c>
      <c r="S64">
        <v>0.2</v>
      </c>
      <c r="T64">
        <v>0.28883467139640101</v>
      </c>
      <c r="U64">
        <v>0.2</v>
      </c>
      <c r="V64">
        <v>0.2</v>
      </c>
      <c r="W64">
        <v>0.2</v>
      </c>
      <c r="X64">
        <v>0.2</v>
      </c>
      <c r="Y64">
        <v>0.2</v>
      </c>
    </row>
    <row r="65" spans="1:25" x14ac:dyDescent="0.2">
      <c r="A65" s="1" t="s">
        <v>155</v>
      </c>
      <c r="B65">
        <v>0.2</v>
      </c>
      <c r="C65">
        <v>0.5</v>
      </c>
      <c r="D65">
        <v>0.8</v>
      </c>
      <c r="E65">
        <v>0.8</v>
      </c>
      <c r="F65">
        <v>0.72062537868757826</v>
      </c>
      <c r="G65">
        <v>0.64125075737516812</v>
      </c>
      <c r="H65">
        <v>0.56532166111906557</v>
      </c>
      <c r="I65">
        <v>0.48939256486296301</v>
      </c>
      <c r="J65">
        <v>0.398634189207213</v>
      </c>
      <c r="K65">
        <v>0.30787581355146271</v>
      </c>
      <c r="L65">
        <v>0.55938436065612851</v>
      </c>
      <c r="M65">
        <v>0.55938436065612851</v>
      </c>
      <c r="N65">
        <v>0.48483778684408357</v>
      </c>
      <c r="O65">
        <v>0.41029121303203869</v>
      </c>
      <c r="P65">
        <v>0.32820238234854371</v>
      </c>
      <c r="Q65">
        <v>0.26410119117427172</v>
      </c>
      <c r="R65">
        <v>0.2</v>
      </c>
      <c r="S65">
        <v>0.36948459839266001</v>
      </c>
      <c r="T65">
        <v>0.28474229919632998</v>
      </c>
      <c r="U65">
        <v>0.2</v>
      </c>
      <c r="V65">
        <v>0.2</v>
      </c>
      <c r="W65">
        <v>0.2</v>
      </c>
      <c r="X65">
        <v>0.2</v>
      </c>
      <c r="Y65">
        <v>0.2</v>
      </c>
    </row>
    <row r="66" spans="1:25" x14ac:dyDescent="0.2">
      <c r="A66" s="1" t="s">
        <v>156</v>
      </c>
      <c r="B66">
        <v>0.2</v>
      </c>
      <c r="C66">
        <v>0.5</v>
      </c>
      <c r="D66">
        <v>0.5</v>
      </c>
      <c r="E66">
        <v>0.5</v>
      </c>
      <c r="F66">
        <v>0.8</v>
      </c>
      <c r="G66">
        <v>1</v>
      </c>
      <c r="H66">
        <v>0.92349062126205694</v>
      </c>
      <c r="I66">
        <v>0.84698124252410067</v>
      </c>
      <c r="J66">
        <v>0.76830020289536538</v>
      </c>
      <c r="K66">
        <v>0.68961916326662909</v>
      </c>
      <c r="L66">
        <v>0.7956091356934436</v>
      </c>
      <c r="M66">
        <v>0.71904746985495627</v>
      </c>
      <c r="N66">
        <v>0.64248580401646904</v>
      </c>
      <c r="O66">
        <v>0.55442596199506167</v>
      </c>
      <c r="P66">
        <v>0.46636611997365451</v>
      </c>
      <c r="Q66">
        <v>0.40350696872488412</v>
      </c>
      <c r="R66">
        <v>0.34064781747611372</v>
      </c>
      <c r="S66">
        <v>0.27032390873805662</v>
      </c>
      <c r="T66">
        <v>0.2</v>
      </c>
      <c r="U66">
        <v>0.2</v>
      </c>
      <c r="V66">
        <v>0.30776842543235372</v>
      </c>
      <c r="W66">
        <v>0.2</v>
      </c>
      <c r="X66">
        <v>0.2</v>
      </c>
      <c r="Y66">
        <v>0.2</v>
      </c>
    </row>
    <row r="67" spans="1:25" x14ac:dyDescent="0.2">
      <c r="A67" s="1" t="s">
        <v>157</v>
      </c>
      <c r="B67">
        <v>0.2</v>
      </c>
      <c r="C67">
        <v>0.2</v>
      </c>
      <c r="D67">
        <v>0.2</v>
      </c>
      <c r="E67">
        <v>0.5</v>
      </c>
      <c r="F67">
        <v>0.7</v>
      </c>
      <c r="G67">
        <v>1</v>
      </c>
      <c r="H67">
        <v>0.91659979236884759</v>
      </c>
      <c r="I67">
        <v>0.83319958473769506</v>
      </c>
      <c r="J67">
        <v>0.95512475645471395</v>
      </c>
      <c r="K67">
        <v>0.86048785125834359</v>
      </c>
      <c r="L67">
        <v>0.76585094606197346</v>
      </c>
      <c r="M67">
        <v>0.69902663610421012</v>
      </c>
      <c r="N67">
        <v>0.59756693273081418</v>
      </c>
      <c r="O67">
        <v>0.51106958810527026</v>
      </c>
      <c r="P67">
        <v>0.43078272319576932</v>
      </c>
      <c r="Q67">
        <v>0.3504958582862675</v>
      </c>
      <c r="R67">
        <v>0.2752479291431344</v>
      </c>
      <c r="S67">
        <v>0.2</v>
      </c>
      <c r="T67">
        <v>0.2</v>
      </c>
      <c r="U67">
        <v>0.2</v>
      </c>
      <c r="V67">
        <v>0.2</v>
      </c>
      <c r="W67">
        <v>0.2</v>
      </c>
      <c r="X67">
        <v>0.2</v>
      </c>
      <c r="Y67">
        <v>0.2</v>
      </c>
    </row>
    <row r="68" spans="1:25" x14ac:dyDescent="0.2">
      <c r="A68" s="1" t="s">
        <v>158</v>
      </c>
      <c r="B68">
        <v>0.2</v>
      </c>
      <c r="C68">
        <v>0.20000006517019031</v>
      </c>
      <c r="D68">
        <v>0.50000006517019024</v>
      </c>
      <c r="E68">
        <v>0.50000006517019024</v>
      </c>
      <c r="F68">
        <v>0.80000006517013289</v>
      </c>
      <c r="G68">
        <v>0.73787292172545871</v>
      </c>
      <c r="H68">
        <v>0.6691199003857623</v>
      </c>
      <c r="I68">
        <v>0.60036687904606589</v>
      </c>
      <c r="J68">
        <v>0.53923689348032566</v>
      </c>
      <c r="K68">
        <v>0.62446646392776184</v>
      </c>
      <c r="L68">
        <v>0.53000133761183821</v>
      </c>
      <c r="M68">
        <v>0.45371145516931372</v>
      </c>
      <c r="N68">
        <v>0.37742157272678922</v>
      </c>
      <c r="O68">
        <v>0.31424741406042428</v>
      </c>
      <c r="P68">
        <v>0.25712370703021181</v>
      </c>
      <c r="Q68">
        <v>0.2</v>
      </c>
      <c r="R68">
        <v>0.27946371932457131</v>
      </c>
      <c r="S68">
        <v>0.27946371932457131</v>
      </c>
      <c r="T68">
        <v>0.2</v>
      </c>
      <c r="U68">
        <v>0.2</v>
      </c>
      <c r="V68">
        <v>0.2</v>
      </c>
      <c r="W68">
        <v>0.2</v>
      </c>
      <c r="X68">
        <v>0.2</v>
      </c>
      <c r="Y68">
        <v>0.2</v>
      </c>
    </row>
    <row r="69" spans="1:25" x14ac:dyDescent="0.2">
      <c r="A69" s="1" t="s">
        <v>159</v>
      </c>
      <c r="B69">
        <v>0.2</v>
      </c>
      <c r="C69">
        <v>0.5</v>
      </c>
      <c r="D69">
        <v>0.5</v>
      </c>
      <c r="E69">
        <v>0.5</v>
      </c>
      <c r="F69">
        <v>0.8</v>
      </c>
      <c r="G69">
        <v>0.72265622857589906</v>
      </c>
      <c r="H69">
        <v>0.6453124571518053</v>
      </c>
      <c r="I69">
        <v>0.57027360252792958</v>
      </c>
      <c r="J69">
        <v>0.81874940896276949</v>
      </c>
      <c r="K69">
        <v>0.74045307928158655</v>
      </c>
      <c r="L69">
        <v>0.6621567496004036</v>
      </c>
      <c r="M69">
        <v>0.58527281218001903</v>
      </c>
      <c r="N69">
        <v>0.50838887475963457</v>
      </c>
      <c r="O69">
        <v>0.50838887475963457</v>
      </c>
      <c r="P69">
        <v>0.43343119687460768</v>
      </c>
      <c r="Q69">
        <v>0.35847351898957752</v>
      </c>
      <c r="R69">
        <v>0.27923675949478349</v>
      </c>
      <c r="S69">
        <v>0.2</v>
      </c>
      <c r="T69">
        <v>0.2</v>
      </c>
      <c r="U69">
        <v>0.26762955536867028</v>
      </c>
      <c r="V69">
        <v>0.26762955536866961</v>
      </c>
      <c r="W69">
        <v>0.2</v>
      </c>
      <c r="X69">
        <v>0.2</v>
      </c>
      <c r="Y69">
        <v>0.2</v>
      </c>
    </row>
    <row r="70" spans="1:25" x14ac:dyDescent="0.2">
      <c r="A70" s="1" t="s">
        <v>160</v>
      </c>
      <c r="B70">
        <v>0.2</v>
      </c>
      <c r="C70">
        <v>0.5</v>
      </c>
      <c r="D70">
        <v>0.5</v>
      </c>
      <c r="E70">
        <v>0.5</v>
      </c>
      <c r="F70">
        <v>0.8</v>
      </c>
      <c r="G70">
        <v>1</v>
      </c>
      <c r="H70">
        <v>0.91879093408096535</v>
      </c>
      <c r="I70">
        <v>0.83758186816193825</v>
      </c>
      <c r="J70">
        <v>0.7469431111153858</v>
      </c>
      <c r="K70">
        <v>0.6563043540688337</v>
      </c>
      <c r="L70">
        <v>0.56768046517737558</v>
      </c>
      <c r="M70">
        <v>0.47905657628591852</v>
      </c>
      <c r="N70">
        <v>0.47905657628591702</v>
      </c>
      <c r="O70">
        <v>0.40793074432374049</v>
      </c>
      <c r="P70">
        <v>0.33680491236156351</v>
      </c>
      <c r="Q70">
        <v>0.28401179309616498</v>
      </c>
      <c r="R70">
        <v>0.23121867383076369</v>
      </c>
      <c r="S70">
        <v>0.36775272555444571</v>
      </c>
      <c r="T70">
        <v>0.28387636277722278</v>
      </c>
      <c r="U70">
        <v>0.2</v>
      </c>
      <c r="V70">
        <v>0.35317909900631422</v>
      </c>
      <c r="W70">
        <v>0.27658954950315712</v>
      </c>
      <c r="X70">
        <v>0.2</v>
      </c>
      <c r="Y70">
        <v>0.2</v>
      </c>
    </row>
    <row r="71" spans="1:25" x14ac:dyDescent="0.2">
      <c r="A71" s="1" t="s">
        <v>161</v>
      </c>
      <c r="B71">
        <v>0.2</v>
      </c>
      <c r="C71">
        <v>0.5</v>
      </c>
      <c r="D71">
        <v>0.5</v>
      </c>
      <c r="E71">
        <v>0.5</v>
      </c>
      <c r="F71">
        <v>0.7</v>
      </c>
      <c r="G71">
        <v>1</v>
      </c>
      <c r="H71">
        <v>0.93352208020312522</v>
      </c>
      <c r="I71">
        <v>0.86704416040625065</v>
      </c>
      <c r="J71">
        <v>0.78487047237370333</v>
      </c>
      <c r="K71">
        <v>0.70269678434115423</v>
      </c>
      <c r="L71">
        <v>0.61822499807862286</v>
      </c>
      <c r="M71">
        <v>0.54387242497514066</v>
      </c>
      <c r="N71">
        <v>0.46951985187165701</v>
      </c>
      <c r="O71">
        <v>0.52165622202397199</v>
      </c>
      <c r="P71">
        <v>0.43425798383912628</v>
      </c>
      <c r="Q71">
        <v>0.34685974565427558</v>
      </c>
      <c r="R71">
        <v>0.2734298728271593</v>
      </c>
      <c r="S71">
        <v>0.2</v>
      </c>
      <c r="T71">
        <v>0.2</v>
      </c>
      <c r="U71">
        <v>0.30903351225167441</v>
      </c>
      <c r="V71">
        <v>0.2</v>
      </c>
      <c r="W71">
        <v>0.2</v>
      </c>
      <c r="X71">
        <v>0.2</v>
      </c>
      <c r="Y71">
        <v>0.2</v>
      </c>
    </row>
    <row r="72" spans="1:25" x14ac:dyDescent="0.2">
      <c r="A72" s="1" t="s">
        <v>162</v>
      </c>
      <c r="B72">
        <v>0.2</v>
      </c>
      <c r="C72">
        <v>0.2</v>
      </c>
      <c r="D72">
        <v>0.2</v>
      </c>
      <c r="E72">
        <v>0.5</v>
      </c>
      <c r="F72">
        <v>0.64142437638587679</v>
      </c>
      <c r="G72">
        <v>0.94142437638587673</v>
      </c>
      <c r="H72">
        <v>0.88490712163866003</v>
      </c>
      <c r="I72">
        <v>0.82838986689144178</v>
      </c>
      <c r="J72">
        <v>0.74489277573248591</v>
      </c>
      <c r="K72">
        <v>0.66139568457351172</v>
      </c>
      <c r="L72">
        <v>0.59536216072345094</v>
      </c>
      <c r="M72">
        <v>0.52932863687339027</v>
      </c>
      <c r="N72">
        <v>0.4643318349662246</v>
      </c>
      <c r="O72">
        <v>0.39933503305905899</v>
      </c>
      <c r="P72">
        <v>0.33457081634476388</v>
      </c>
      <c r="Q72">
        <v>0.26980659963046888</v>
      </c>
      <c r="R72">
        <v>0.26980659963046888</v>
      </c>
      <c r="S72">
        <v>0.2</v>
      </c>
      <c r="T72">
        <v>0.2</v>
      </c>
      <c r="U72">
        <v>0.370465140231998</v>
      </c>
      <c r="V72">
        <v>0.28523257011599812</v>
      </c>
      <c r="W72">
        <v>0.2</v>
      </c>
      <c r="X72">
        <v>0.2</v>
      </c>
      <c r="Y72">
        <v>0.2</v>
      </c>
    </row>
    <row r="73" spans="1:25" x14ac:dyDescent="0.2">
      <c r="A73" s="1" t="s">
        <v>163</v>
      </c>
      <c r="B73">
        <v>0.2</v>
      </c>
      <c r="C73">
        <v>0.5</v>
      </c>
      <c r="D73">
        <v>0.5</v>
      </c>
      <c r="E73">
        <v>0.8</v>
      </c>
      <c r="F73">
        <v>1</v>
      </c>
      <c r="G73">
        <v>0.91516658436536813</v>
      </c>
      <c r="H73">
        <v>0.83033316873074781</v>
      </c>
      <c r="I73">
        <v>0.76113890701563569</v>
      </c>
      <c r="J73">
        <v>0.69194464530050781</v>
      </c>
      <c r="K73">
        <v>0.97934445125934666</v>
      </c>
      <c r="L73">
        <v>0.89874288751224796</v>
      </c>
      <c r="M73">
        <v>0.81814132376514925</v>
      </c>
      <c r="N73">
        <v>0.73173759553296536</v>
      </c>
      <c r="O73">
        <v>0.66951204412575394</v>
      </c>
      <c r="P73">
        <v>0.60728649271854285</v>
      </c>
      <c r="Q73">
        <v>0.52499275017703784</v>
      </c>
      <c r="R73">
        <v>0.44269900763552922</v>
      </c>
      <c r="S73">
        <v>0.36040526509401938</v>
      </c>
      <c r="T73">
        <v>0.28020263254700151</v>
      </c>
      <c r="U73">
        <v>0.2</v>
      </c>
      <c r="V73">
        <v>0.2</v>
      </c>
      <c r="W73">
        <v>0.28736131922385688</v>
      </c>
      <c r="X73">
        <v>0.2</v>
      </c>
      <c r="Y73">
        <v>0.2</v>
      </c>
    </row>
    <row r="74" spans="1:25" x14ac:dyDescent="0.2">
      <c r="A74" s="1" t="s">
        <v>164</v>
      </c>
      <c r="B74">
        <v>0.2</v>
      </c>
      <c r="C74">
        <v>0.5</v>
      </c>
      <c r="D74">
        <v>0.5</v>
      </c>
      <c r="E74">
        <v>0.8</v>
      </c>
      <c r="F74">
        <v>0.99674849479464078</v>
      </c>
      <c r="G74">
        <v>0.92227058209536461</v>
      </c>
      <c r="H74">
        <v>0.85697421789001471</v>
      </c>
      <c r="I74">
        <v>0.79167785368467491</v>
      </c>
      <c r="J74">
        <v>0.71672592787314182</v>
      </c>
      <c r="K74">
        <v>0.6417740020616125</v>
      </c>
      <c r="L74">
        <v>0.55700406406687253</v>
      </c>
      <c r="M74">
        <v>0.47223412607213738</v>
      </c>
      <c r="N74">
        <v>0.3874641880773852</v>
      </c>
      <c r="O74">
        <v>0.38746418807738248</v>
      </c>
      <c r="P74">
        <v>0.32869777289160379</v>
      </c>
      <c r="Q74">
        <v>0.2699313577058236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 x14ac:dyDescent="0.2">
      <c r="A75" s="1" t="s">
        <v>165</v>
      </c>
      <c r="B75">
        <v>0.2</v>
      </c>
      <c r="C75">
        <v>0.2</v>
      </c>
      <c r="D75">
        <v>0.5</v>
      </c>
      <c r="E75">
        <v>0.8</v>
      </c>
      <c r="F75">
        <v>0.68324690655239673</v>
      </c>
      <c r="G75">
        <v>0.56649381310477975</v>
      </c>
      <c r="H75">
        <v>0.49417069185220969</v>
      </c>
      <c r="I75">
        <v>0.42184757059963629</v>
      </c>
      <c r="J75">
        <v>0.70198891512863881</v>
      </c>
      <c r="K75">
        <v>0.62021293739049721</v>
      </c>
      <c r="L75">
        <v>0.53843695965235661</v>
      </c>
      <c r="M75">
        <v>0.53843695965235538</v>
      </c>
      <c r="N75">
        <v>0.53843695965235538</v>
      </c>
      <c r="O75">
        <v>0.53843695965234795</v>
      </c>
      <c r="P75">
        <v>0.48512396619106518</v>
      </c>
      <c r="Q75">
        <v>0.41497352173981972</v>
      </c>
      <c r="R75">
        <v>0.3448230772885742</v>
      </c>
      <c r="S75">
        <v>0.2724115386442918</v>
      </c>
      <c r="T75">
        <v>0.2</v>
      </c>
      <c r="U75">
        <v>0.2</v>
      </c>
      <c r="V75">
        <v>0.2</v>
      </c>
      <c r="W75">
        <v>0.2</v>
      </c>
      <c r="X75">
        <v>0.2</v>
      </c>
      <c r="Y75">
        <v>0.2</v>
      </c>
    </row>
    <row r="76" spans="1:25" x14ac:dyDescent="0.2">
      <c r="A76" s="1" t="s">
        <v>166</v>
      </c>
      <c r="B76">
        <v>0.2</v>
      </c>
      <c r="C76">
        <v>0.2</v>
      </c>
      <c r="D76">
        <v>0.5</v>
      </c>
      <c r="E76">
        <v>0.8</v>
      </c>
      <c r="F76">
        <v>1</v>
      </c>
      <c r="G76">
        <v>0.88917436970421948</v>
      </c>
      <c r="H76">
        <v>0.8171413501682685</v>
      </c>
      <c r="I76">
        <v>0.74510833063231308</v>
      </c>
      <c r="J76">
        <v>0.63953456715000623</v>
      </c>
      <c r="K76">
        <v>0.55839019511930621</v>
      </c>
      <c r="L76">
        <v>0.4772458230886063</v>
      </c>
      <c r="M76">
        <v>0.39910337415095221</v>
      </c>
      <c r="N76">
        <v>0.32096092521329811</v>
      </c>
      <c r="O76">
        <v>0.26222229579865941</v>
      </c>
      <c r="P76">
        <v>0.20348366638402071</v>
      </c>
      <c r="Q76">
        <v>0.20348366638402071</v>
      </c>
      <c r="R76">
        <v>0.36130569488032638</v>
      </c>
      <c r="S76">
        <v>0.28065284744016322</v>
      </c>
      <c r="T76">
        <v>0.2</v>
      </c>
      <c r="U76">
        <v>0.2</v>
      </c>
      <c r="V76">
        <v>0.2</v>
      </c>
      <c r="W76">
        <v>0.2</v>
      </c>
      <c r="X76">
        <v>0.2</v>
      </c>
      <c r="Y76">
        <v>0.2</v>
      </c>
    </row>
    <row r="77" spans="1:25" x14ac:dyDescent="0.2">
      <c r="A77" s="1" t="s">
        <v>167</v>
      </c>
      <c r="B77">
        <v>0.2</v>
      </c>
      <c r="C77">
        <v>0.5</v>
      </c>
      <c r="D77">
        <v>0.5</v>
      </c>
      <c r="E77">
        <v>0.5</v>
      </c>
      <c r="F77">
        <v>0.5</v>
      </c>
      <c r="G77">
        <v>0.8</v>
      </c>
      <c r="H77">
        <v>0.73703383182212256</v>
      </c>
      <c r="I77">
        <v>0.67406766364424697</v>
      </c>
      <c r="J77">
        <v>0.60743967562186207</v>
      </c>
      <c r="K77">
        <v>0.9066852291152685</v>
      </c>
      <c r="L77">
        <v>0.83478632286228527</v>
      </c>
      <c r="M77">
        <v>0.76288741660930881</v>
      </c>
      <c r="N77">
        <v>0.69649961704458863</v>
      </c>
      <c r="O77">
        <v>0.62234094057493439</v>
      </c>
      <c r="P77">
        <v>0.5481822641052766</v>
      </c>
      <c r="Q77">
        <v>0.49064970161174748</v>
      </c>
      <c r="R77">
        <v>0.43311713911822453</v>
      </c>
      <c r="S77">
        <v>0.36483068517185618</v>
      </c>
      <c r="T77">
        <v>0.28241534258592949</v>
      </c>
      <c r="U77">
        <v>0.2</v>
      </c>
      <c r="V77">
        <v>0.2</v>
      </c>
      <c r="W77">
        <v>0.26784833275241088</v>
      </c>
      <c r="X77">
        <v>0.2</v>
      </c>
      <c r="Y77">
        <v>0.2</v>
      </c>
    </row>
    <row r="78" spans="1:25" x14ac:dyDescent="0.2">
      <c r="A78" s="1" t="s">
        <v>168</v>
      </c>
      <c r="B78">
        <v>0.2</v>
      </c>
      <c r="C78">
        <v>0.2</v>
      </c>
      <c r="D78">
        <v>0.2</v>
      </c>
      <c r="E78">
        <v>0.5</v>
      </c>
      <c r="F78">
        <v>0.8</v>
      </c>
      <c r="G78">
        <v>0.71233700090408947</v>
      </c>
      <c r="H78">
        <v>0.63924829874557543</v>
      </c>
      <c r="I78">
        <v>0.56615959658706327</v>
      </c>
      <c r="J78">
        <v>0.85174696660386151</v>
      </c>
      <c r="K78">
        <v>0.78560554179151532</v>
      </c>
      <c r="L78">
        <v>0.70033736532537161</v>
      </c>
      <c r="M78">
        <v>0.61506918885922179</v>
      </c>
      <c r="N78">
        <v>0.54868138929450017</v>
      </c>
      <c r="O78">
        <v>0.48229358972977687</v>
      </c>
      <c r="P78">
        <v>0.42460228356893631</v>
      </c>
      <c r="Q78">
        <v>0.36691097740810469</v>
      </c>
      <c r="R78">
        <v>0.28144484056785241</v>
      </c>
      <c r="S78">
        <v>0.2</v>
      </c>
      <c r="T78">
        <v>0.2</v>
      </c>
      <c r="U78">
        <v>0.2</v>
      </c>
      <c r="V78">
        <v>0.2</v>
      </c>
      <c r="W78">
        <v>0.2</v>
      </c>
      <c r="X78">
        <v>0.2</v>
      </c>
      <c r="Y78">
        <v>0.2</v>
      </c>
    </row>
    <row r="79" spans="1:25" x14ac:dyDescent="0.2">
      <c r="A79" s="1" t="s">
        <v>169</v>
      </c>
      <c r="B79">
        <v>0.2</v>
      </c>
      <c r="C79">
        <v>0.5</v>
      </c>
      <c r="D79">
        <v>0.5</v>
      </c>
      <c r="E79">
        <v>0.8</v>
      </c>
      <c r="F79">
        <v>0.8</v>
      </c>
      <c r="G79">
        <v>1</v>
      </c>
      <c r="H79">
        <v>0.92179754511887235</v>
      </c>
      <c r="I79">
        <v>0.84359509023771073</v>
      </c>
      <c r="J79">
        <v>0.75386146203046089</v>
      </c>
      <c r="K79">
        <v>0.66412783382320817</v>
      </c>
      <c r="L79">
        <v>0.57837336216753266</v>
      </c>
      <c r="M79">
        <v>0.49261889051185698</v>
      </c>
      <c r="N79">
        <v>0.39750322315470971</v>
      </c>
      <c r="O79">
        <v>0.39750322315464648</v>
      </c>
      <c r="P79">
        <v>0.29916250487882279</v>
      </c>
      <c r="Q79">
        <v>0.21228954270657199</v>
      </c>
      <c r="R79">
        <v>0.44091238620135198</v>
      </c>
      <c r="S79">
        <v>0.37210427958163828</v>
      </c>
      <c r="T79">
        <v>0.37210427958163173</v>
      </c>
      <c r="U79">
        <v>0.28605213979081401</v>
      </c>
      <c r="V79">
        <v>0.2</v>
      </c>
      <c r="W79">
        <v>0.2</v>
      </c>
      <c r="X79">
        <v>0.2</v>
      </c>
      <c r="Y79">
        <v>0.2</v>
      </c>
    </row>
    <row r="80" spans="1:25" x14ac:dyDescent="0.2">
      <c r="A80" s="1" t="s">
        <v>170</v>
      </c>
      <c r="B80">
        <v>0.2</v>
      </c>
      <c r="C80">
        <v>0.5</v>
      </c>
      <c r="D80">
        <v>0.8</v>
      </c>
      <c r="E80">
        <v>0.8</v>
      </c>
      <c r="F80">
        <v>0.8</v>
      </c>
      <c r="G80">
        <v>1</v>
      </c>
      <c r="H80">
        <v>0.93461312678483865</v>
      </c>
      <c r="I80">
        <v>0.8601996305082753</v>
      </c>
      <c r="J80">
        <v>0.78578613423171195</v>
      </c>
      <c r="K80">
        <v>0.72297799013210007</v>
      </c>
      <c r="L80">
        <v>0.64652323005013923</v>
      </c>
      <c r="M80">
        <v>0.57006846996817839</v>
      </c>
      <c r="N80">
        <v>0.48026943373674358</v>
      </c>
      <c r="O80">
        <v>0.39047039750530271</v>
      </c>
      <c r="P80">
        <v>0.32949012375695053</v>
      </c>
      <c r="Q80">
        <v>0.26850985000860761</v>
      </c>
      <c r="R80">
        <v>0.2008215676607755</v>
      </c>
      <c r="S80">
        <v>0.28619739702158059</v>
      </c>
      <c r="T80">
        <v>0.2</v>
      </c>
      <c r="U80">
        <v>0.2</v>
      </c>
      <c r="V80">
        <v>0.2</v>
      </c>
      <c r="W80">
        <v>0.2</v>
      </c>
      <c r="X80">
        <v>0.2</v>
      </c>
      <c r="Y80">
        <v>0.2</v>
      </c>
    </row>
    <row r="81" spans="1:25" x14ac:dyDescent="0.2">
      <c r="A81" s="1" t="s">
        <v>171</v>
      </c>
      <c r="B81">
        <v>0.2</v>
      </c>
      <c r="C81">
        <v>0.5</v>
      </c>
      <c r="D81">
        <v>0.8</v>
      </c>
      <c r="E81">
        <v>0.8</v>
      </c>
      <c r="F81">
        <v>0.8</v>
      </c>
      <c r="G81">
        <v>0.70981724997231899</v>
      </c>
      <c r="H81">
        <v>0.6375611549368766</v>
      </c>
      <c r="I81">
        <v>0.56530505990143654</v>
      </c>
      <c r="J81">
        <v>0.48414303525361629</v>
      </c>
      <c r="K81">
        <v>0.40298101060579627</v>
      </c>
      <c r="L81">
        <v>0.70298101060579632</v>
      </c>
      <c r="M81">
        <v>0.62570244880472181</v>
      </c>
      <c r="N81">
        <v>0.54842388700364719</v>
      </c>
      <c r="O81">
        <v>0.45395876068772351</v>
      </c>
      <c r="P81">
        <v>0.35949363437179971</v>
      </c>
      <c r="Q81">
        <v>0.28609059509759838</v>
      </c>
      <c r="R81">
        <v>0.21268755582339699</v>
      </c>
      <c r="S81">
        <v>0.36249842377483299</v>
      </c>
      <c r="T81">
        <v>0.28124921188762048</v>
      </c>
      <c r="U81">
        <v>0.2</v>
      </c>
      <c r="V81">
        <v>0.28500315270806431</v>
      </c>
      <c r="W81">
        <v>0.2</v>
      </c>
      <c r="X81">
        <v>0.2</v>
      </c>
      <c r="Y81">
        <v>0.2</v>
      </c>
    </row>
    <row r="82" spans="1:25" x14ac:dyDescent="0.2">
      <c r="A82" s="1" t="s">
        <v>172</v>
      </c>
      <c r="B82">
        <v>0.2</v>
      </c>
      <c r="C82">
        <v>0.5</v>
      </c>
      <c r="D82">
        <v>0.5</v>
      </c>
      <c r="E82">
        <v>0.5</v>
      </c>
      <c r="F82">
        <v>0.7</v>
      </c>
      <c r="G82">
        <v>1</v>
      </c>
      <c r="H82">
        <v>0.91842265958082536</v>
      </c>
      <c r="I82">
        <v>0.84780352790527114</v>
      </c>
      <c r="J82">
        <v>0.7771843962297168</v>
      </c>
      <c r="K82">
        <v>0.68676493858088961</v>
      </c>
      <c r="L82">
        <v>0.59634548093206241</v>
      </c>
      <c r="M82">
        <v>0.51781993349924027</v>
      </c>
      <c r="N82">
        <v>0.43929438606641802</v>
      </c>
      <c r="O82">
        <v>0.3641275237037514</v>
      </c>
      <c r="P82">
        <v>0.29493216978154629</v>
      </c>
      <c r="Q82">
        <v>0.22573681585934141</v>
      </c>
      <c r="R82">
        <v>0.52442264889351098</v>
      </c>
      <c r="S82">
        <v>0.42869555023979311</v>
      </c>
      <c r="T82">
        <v>0.31434777511989959</v>
      </c>
      <c r="U82">
        <v>0.2</v>
      </c>
      <c r="V82">
        <v>0.34526288608817679</v>
      </c>
      <c r="W82">
        <v>0.27263144304408837</v>
      </c>
      <c r="X82">
        <v>0.2</v>
      </c>
      <c r="Y82">
        <v>0.2</v>
      </c>
    </row>
    <row r="83" spans="1:25" x14ac:dyDescent="0.2">
      <c r="A83" s="1" t="s">
        <v>173</v>
      </c>
      <c r="B83">
        <v>0.2</v>
      </c>
      <c r="C83">
        <v>0.5</v>
      </c>
      <c r="D83">
        <v>0.5</v>
      </c>
      <c r="E83">
        <v>0.8</v>
      </c>
      <c r="F83">
        <v>0.73504495041094287</v>
      </c>
      <c r="G83">
        <v>1</v>
      </c>
      <c r="H83">
        <v>0.90850805774816046</v>
      </c>
      <c r="I83">
        <v>0.83039539189559852</v>
      </c>
      <c r="J83">
        <v>0.75228272604303659</v>
      </c>
      <c r="K83">
        <v>0.68029368242156496</v>
      </c>
      <c r="L83">
        <v>0.60830463880008778</v>
      </c>
      <c r="M83">
        <v>0.60830463880008545</v>
      </c>
      <c r="N83">
        <v>0.52156251936043707</v>
      </c>
      <c r="O83">
        <v>0.43482039992079319</v>
      </c>
      <c r="P83">
        <v>0.36293966574204461</v>
      </c>
      <c r="Q83">
        <v>0.29105893156329649</v>
      </c>
      <c r="R83">
        <v>0.2170810459124323</v>
      </c>
      <c r="S83">
        <v>0.26491503536627981</v>
      </c>
      <c r="T83">
        <v>0.2</v>
      </c>
      <c r="U83">
        <v>0.2</v>
      </c>
      <c r="V83">
        <v>0.2</v>
      </c>
      <c r="W83">
        <v>0.2</v>
      </c>
      <c r="X83">
        <v>0.2</v>
      </c>
      <c r="Y83">
        <v>0.2</v>
      </c>
    </row>
    <row r="84" spans="1:25" x14ac:dyDescent="0.2">
      <c r="A84" s="1" t="s">
        <v>174</v>
      </c>
      <c r="B84">
        <v>0.2</v>
      </c>
      <c r="C84">
        <v>0.2</v>
      </c>
      <c r="D84">
        <v>0.2</v>
      </c>
      <c r="E84">
        <v>0.2</v>
      </c>
      <c r="F84">
        <v>0.5</v>
      </c>
      <c r="G84">
        <v>0.8</v>
      </c>
      <c r="H84">
        <v>0.71717159483839032</v>
      </c>
      <c r="I84">
        <v>0.63274985269827089</v>
      </c>
      <c r="J84">
        <v>0.54832811055814867</v>
      </c>
      <c r="K84">
        <v>0.48194370093803701</v>
      </c>
      <c r="L84">
        <v>0.41555929131792252</v>
      </c>
      <c r="M84">
        <v>0.41555929131792252</v>
      </c>
      <c r="N84">
        <v>0.41555929131792252</v>
      </c>
      <c r="O84">
        <v>0.43902647005744527</v>
      </c>
      <c r="P84">
        <v>0.35935098003828558</v>
      </c>
      <c r="Q84">
        <v>0.27967549001914199</v>
      </c>
      <c r="R84">
        <v>0.2</v>
      </c>
      <c r="S84">
        <v>0.2</v>
      </c>
      <c r="T84">
        <v>0.2</v>
      </c>
      <c r="U84">
        <v>0.2</v>
      </c>
      <c r="V84">
        <v>0.26818826753715858</v>
      </c>
      <c r="W84">
        <v>0.2</v>
      </c>
      <c r="X84">
        <v>0.2</v>
      </c>
      <c r="Y84">
        <v>0.2</v>
      </c>
    </row>
    <row r="85" spans="1:25" x14ac:dyDescent="0.2">
      <c r="A85" s="1" t="s">
        <v>175</v>
      </c>
      <c r="B85">
        <v>0.2</v>
      </c>
      <c r="C85">
        <v>0.2</v>
      </c>
      <c r="D85">
        <v>0.2</v>
      </c>
      <c r="E85">
        <v>0.5</v>
      </c>
      <c r="F85">
        <v>0.5</v>
      </c>
      <c r="G85">
        <v>0.8</v>
      </c>
      <c r="H85">
        <v>0.71842241132342377</v>
      </c>
      <c r="I85">
        <v>0.63684482264685693</v>
      </c>
      <c r="J85">
        <v>0.55065057629686942</v>
      </c>
      <c r="K85">
        <v>0.46445632994688169</v>
      </c>
      <c r="L85">
        <v>0.76445632994688162</v>
      </c>
      <c r="M85">
        <v>0.67836197055592151</v>
      </c>
      <c r="N85">
        <v>0.59226761116496141</v>
      </c>
      <c r="O85">
        <v>0.51750982041791882</v>
      </c>
      <c r="P85">
        <v>0.44275202967087218</v>
      </c>
      <c r="Q85">
        <v>0.36666180650750257</v>
      </c>
      <c r="R85">
        <v>0.29057158334413818</v>
      </c>
      <c r="S85">
        <v>0.33694011433590249</v>
      </c>
      <c r="T85">
        <v>0.33694011433593418</v>
      </c>
      <c r="U85">
        <v>0.26847005716796651</v>
      </c>
      <c r="V85">
        <v>0.2</v>
      </c>
      <c r="W85">
        <v>0.2</v>
      </c>
      <c r="X85">
        <v>0.2</v>
      </c>
      <c r="Y85">
        <v>0.2</v>
      </c>
    </row>
    <row r="86" spans="1:25" x14ac:dyDescent="0.2">
      <c r="A86" s="1" t="s">
        <v>176</v>
      </c>
      <c r="B86">
        <v>0.2</v>
      </c>
      <c r="C86">
        <v>0.2</v>
      </c>
      <c r="D86">
        <v>0.2</v>
      </c>
      <c r="E86">
        <v>0.5</v>
      </c>
      <c r="F86">
        <v>0.7</v>
      </c>
      <c r="G86">
        <v>1</v>
      </c>
      <c r="H86">
        <v>0.9138466358794326</v>
      </c>
      <c r="I86">
        <v>0.82769327175886553</v>
      </c>
      <c r="J86">
        <v>0.74153990763829836</v>
      </c>
      <c r="K86">
        <v>0.66186832058395395</v>
      </c>
      <c r="L86">
        <v>0.58219673352960977</v>
      </c>
      <c r="M86">
        <v>0.48779910400675908</v>
      </c>
      <c r="N86">
        <v>0.51898885918544302</v>
      </c>
      <c r="O86">
        <v>0.45343317058030069</v>
      </c>
      <c r="P86">
        <v>0.38787748197515831</v>
      </c>
      <c r="Q86">
        <v>0.29393874098757922</v>
      </c>
      <c r="R86">
        <v>0.2</v>
      </c>
      <c r="S86">
        <v>0.2</v>
      </c>
      <c r="T86">
        <v>0.2</v>
      </c>
      <c r="U86">
        <v>0.2</v>
      </c>
      <c r="V86">
        <v>0.2</v>
      </c>
      <c r="W86">
        <v>0.2</v>
      </c>
      <c r="X86">
        <v>0.2</v>
      </c>
      <c r="Y86">
        <v>0.2</v>
      </c>
    </row>
    <row r="87" spans="1:25" x14ac:dyDescent="0.2">
      <c r="A87" s="1" t="s">
        <v>177</v>
      </c>
      <c r="B87">
        <v>0.2</v>
      </c>
      <c r="C87">
        <v>0.5</v>
      </c>
      <c r="D87">
        <v>0.8</v>
      </c>
      <c r="E87">
        <v>0.8</v>
      </c>
      <c r="F87">
        <v>0.8</v>
      </c>
      <c r="G87">
        <v>1</v>
      </c>
      <c r="H87">
        <v>0.93087744041968468</v>
      </c>
      <c r="I87">
        <v>0.85304401723643708</v>
      </c>
      <c r="J87">
        <v>0.77521059405319603</v>
      </c>
      <c r="K87">
        <v>0.69719865385566915</v>
      </c>
      <c r="L87">
        <v>0.61918671365815647</v>
      </c>
      <c r="M87">
        <v>0.53575733113814061</v>
      </c>
      <c r="N87">
        <v>0.45232794861812459</v>
      </c>
      <c r="O87">
        <v>0.39205641768142291</v>
      </c>
      <c r="P87">
        <v>0.31090140065522492</v>
      </c>
      <c r="Q87">
        <v>0.2167105913849259</v>
      </c>
      <c r="R87">
        <v>0.2167105913849256</v>
      </c>
      <c r="S87">
        <v>0.30161665621127559</v>
      </c>
      <c r="T87">
        <v>0.2</v>
      </c>
      <c r="U87">
        <v>0.36665936561421802</v>
      </c>
      <c r="V87">
        <v>0.29423528843558022</v>
      </c>
      <c r="W87">
        <v>0.2</v>
      </c>
      <c r="X87">
        <v>0.2</v>
      </c>
      <c r="Y87">
        <v>0.2</v>
      </c>
    </row>
    <row r="88" spans="1:25" x14ac:dyDescent="0.2">
      <c r="A88" s="1" t="s">
        <v>178</v>
      </c>
      <c r="B88">
        <v>0.2</v>
      </c>
      <c r="C88">
        <v>0.5</v>
      </c>
      <c r="D88">
        <v>0.8</v>
      </c>
      <c r="E88">
        <v>0.8</v>
      </c>
      <c r="F88">
        <v>0.67742422412039272</v>
      </c>
      <c r="G88">
        <v>0.97742422412039276</v>
      </c>
      <c r="H88">
        <v>0.88579379617628473</v>
      </c>
      <c r="I88">
        <v>0.7831777492486135</v>
      </c>
      <c r="J88">
        <v>0.68056170232094226</v>
      </c>
      <c r="K88">
        <v>0.85659201310218203</v>
      </c>
      <c r="L88">
        <v>0.77893298914679554</v>
      </c>
      <c r="M88">
        <v>0.70127396519139396</v>
      </c>
      <c r="N88">
        <v>0.62966879800833309</v>
      </c>
      <c r="O88">
        <v>0.55806363082526578</v>
      </c>
      <c r="P88">
        <v>0.50193376981402882</v>
      </c>
      <c r="Q88">
        <v>0.44580390880279341</v>
      </c>
      <c r="R88">
        <v>0.35959406127935872</v>
      </c>
      <c r="S88">
        <v>0.27338421375593169</v>
      </c>
      <c r="T88">
        <v>0.2</v>
      </c>
      <c r="U88">
        <v>0.26867590126143959</v>
      </c>
      <c r="V88">
        <v>0.2</v>
      </c>
      <c r="W88">
        <v>0.2</v>
      </c>
      <c r="X88">
        <v>0.2</v>
      </c>
      <c r="Y88">
        <v>0.2</v>
      </c>
    </row>
    <row r="89" spans="1:25" x14ac:dyDescent="0.2">
      <c r="A89" s="1" t="s">
        <v>179</v>
      </c>
      <c r="B89">
        <v>0.2</v>
      </c>
      <c r="C89">
        <v>0.5</v>
      </c>
      <c r="D89">
        <v>0.8</v>
      </c>
      <c r="E89">
        <v>0.8</v>
      </c>
      <c r="F89">
        <v>1</v>
      </c>
      <c r="G89">
        <v>0.9169172253879706</v>
      </c>
      <c r="H89">
        <v>0.83383445077594254</v>
      </c>
      <c r="I89">
        <v>0.72901858286696708</v>
      </c>
      <c r="J89">
        <v>0.62420271495799151</v>
      </c>
      <c r="K89">
        <v>0.53506591179765572</v>
      </c>
      <c r="L89">
        <v>0.44592910863731999</v>
      </c>
      <c r="M89">
        <v>0.44592910863731872</v>
      </c>
      <c r="N89">
        <v>0.44592910863731872</v>
      </c>
      <c r="O89">
        <v>0.56362369987397487</v>
      </c>
      <c r="P89">
        <v>0.49526165921477422</v>
      </c>
      <c r="Q89">
        <v>0.40171326861952961</v>
      </c>
      <c r="R89">
        <v>0.30085663430976439</v>
      </c>
      <c r="S89">
        <v>0.2</v>
      </c>
      <c r="T89">
        <v>0.2</v>
      </c>
      <c r="U89">
        <v>0.2</v>
      </c>
      <c r="V89">
        <v>0.2</v>
      </c>
      <c r="W89">
        <v>0.2</v>
      </c>
      <c r="X89">
        <v>0.2</v>
      </c>
      <c r="Y89">
        <v>0.2</v>
      </c>
    </row>
    <row r="90" spans="1:25" x14ac:dyDescent="0.2">
      <c r="A90" s="1" t="s">
        <v>180</v>
      </c>
      <c r="B90">
        <v>0.2</v>
      </c>
      <c r="C90">
        <v>0.2</v>
      </c>
      <c r="D90">
        <v>0.5</v>
      </c>
      <c r="E90">
        <v>0.8</v>
      </c>
      <c r="F90">
        <v>0.8</v>
      </c>
      <c r="G90">
        <v>1</v>
      </c>
      <c r="H90">
        <v>0.93404397415507034</v>
      </c>
      <c r="I90">
        <v>0.8680879483101408</v>
      </c>
      <c r="J90">
        <v>0.77018138514108125</v>
      </c>
      <c r="K90">
        <v>0.67227482197202193</v>
      </c>
      <c r="L90">
        <v>0.5888073918542378</v>
      </c>
      <c r="M90">
        <v>0.50533996173645368</v>
      </c>
      <c r="N90">
        <v>0.51441398773895486</v>
      </c>
      <c r="O90">
        <v>0.41345170558161992</v>
      </c>
      <c r="P90">
        <v>0.3124894234242851</v>
      </c>
      <c r="Q90">
        <v>0.25624471171214291</v>
      </c>
      <c r="R90">
        <v>0.2</v>
      </c>
      <c r="S90">
        <v>0.35887794442714782</v>
      </c>
      <c r="T90">
        <v>0.35887794442714782</v>
      </c>
      <c r="U90">
        <v>0.27943897221356923</v>
      </c>
      <c r="V90">
        <v>0.2</v>
      </c>
      <c r="W90">
        <v>0.2</v>
      </c>
      <c r="X90">
        <v>0.2</v>
      </c>
      <c r="Y90">
        <v>0.2</v>
      </c>
    </row>
    <row r="91" spans="1:25" x14ac:dyDescent="0.2">
      <c r="A91" s="1" t="s">
        <v>181</v>
      </c>
      <c r="B91">
        <v>0.2</v>
      </c>
      <c r="C91">
        <v>0.5</v>
      </c>
      <c r="D91">
        <v>0.8</v>
      </c>
      <c r="E91">
        <v>0.8</v>
      </c>
      <c r="F91">
        <v>1</v>
      </c>
      <c r="G91">
        <v>1</v>
      </c>
      <c r="H91">
        <v>0.92736242888724274</v>
      </c>
      <c r="I91">
        <v>0.85472485777448548</v>
      </c>
      <c r="J91">
        <v>0.78347888310814573</v>
      </c>
      <c r="K91">
        <v>0.70995209899788847</v>
      </c>
      <c r="L91">
        <v>0.63642531488763121</v>
      </c>
      <c r="M91">
        <v>0.6514674369340534</v>
      </c>
      <c r="N91">
        <v>0.57499399890581993</v>
      </c>
      <c r="O91">
        <v>0.49852056087758567</v>
      </c>
      <c r="P91">
        <v>0.436526033357032</v>
      </c>
      <c r="Q91">
        <v>0.35768402223802109</v>
      </c>
      <c r="R91">
        <v>0.27884201111900969</v>
      </c>
      <c r="S91">
        <v>0.2</v>
      </c>
      <c r="T91">
        <v>0.2</v>
      </c>
      <c r="U91">
        <v>0.2</v>
      </c>
      <c r="V91">
        <v>0.2</v>
      </c>
      <c r="W91">
        <v>0.2</v>
      </c>
      <c r="X91">
        <v>0.2</v>
      </c>
      <c r="Y91">
        <v>0.2</v>
      </c>
    </row>
    <row r="92" spans="1:25" x14ac:dyDescent="0.2">
      <c r="A92" s="1" t="s">
        <v>182</v>
      </c>
      <c r="B92">
        <v>0.2</v>
      </c>
      <c r="C92">
        <v>0.5</v>
      </c>
      <c r="D92">
        <v>0.5</v>
      </c>
      <c r="E92">
        <v>0.5</v>
      </c>
      <c r="F92">
        <v>0.8</v>
      </c>
      <c r="G92">
        <v>0.73140548541479156</v>
      </c>
      <c r="H92">
        <v>0.64617358280742565</v>
      </c>
      <c r="I92">
        <v>0.56094168020005974</v>
      </c>
      <c r="J92">
        <v>0.47975758423712722</v>
      </c>
      <c r="K92">
        <v>0.39857348827419459</v>
      </c>
      <c r="L92">
        <v>0.68873564352351369</v>
      </c>
      <c r="M92">
        <v>0.5974920862676345</v>
      </c>
      <c r="N92">
        <v>0.50624852901175699</v>
      </c>
      <c r="O92">
        <v>0.42182476804133118</v>
      </c>
      <c r="P92">
        <v>0.33740100707090359</v>
      </c>
      <c r="Q92">
        <v>0.26870050353545322</v>
      </c>
      <c r="R92">
        <v>0.2</v>
      </c>
      <c r="S92">
        <v>0.2</v>
      </c>
      <c r="T92">
        <v>0.30042395846412367</v>
      </c>
      <c r="U92">
        <v>0.2</v>
      </c>
      <c r="V92">
        <v>0.2</v>
      </c>
      <c r="W92">
        <v>0.2</v>
      </c>
      <c r="X92">
        <v>0.2</v>
      </c>
      <c r="Y92">
        <v>0.2</v>
      </c>
    </row>
    <row r="93" spans="1:25" x14ac:dyDescent="0.2">
      <c r="A93" s="1" t="s">
        <v>183</v>
      </c>
      <c r="B93">
        <v>0.2</v>
      </c>
      <c r="C93">
        <v>0.2</v>
      </c>
      <c r="D93">
        <v>0.5</v>
      </c>
      <c r="E93">
        <v>0.5</v>
      </c>
      <c r="F93">
        <v>0.8</v>
      </c>
      <c r="G93">
        <v>1</v>
      </c>
      <c r="H93">
        <v>0.93349326369452346</v>
      </c>
      <c r="I93">
        <v>0.85446357908519344</v>
      </c>
      <c r="J93">
        <v>0.77543389447586208</v>
      </c>
      <c r="K93">
        <v>0.70864516904798625</v>
      </c>
      <c r="L93">
        <v>0.63409630098371828</v>
      </c>
      <c r="M93">
        <v>0.55954743291946096</v>
      </c>
      <c r="N93">
        <v>0.46991626694488969</v>
      </c>
      <c r="O93">
        <v>0.38028510097031898</v>
      </c>
      <c r="P93">
        <v>0.31664207031666741</v>
      </c>
      <c r="Q93">
        <v>0.25874415072885482</v>
      </c>
      <c r="R93">
        <v>0.2008462311410423</v>
      </c>
      <c r="S93">
        <v>0.29642614141436019</v>
      </c>
      <c r="T93">
        <v>0.29642614141436019</v>
      </c>
      <c r="U93">
        <v>0.2</v>
      </c>
      <c r="V93">
        <v>0.2</v>
      </c>
      <c r="W93">
        <v>0.2</v>
      </c>
      <c r="X93">
        <v>0.2</v>
      </c>
      <c r="Y93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selection activeCell="I2" sqref="I2"/>
    </sheetView>
  </sheetViews>
  <sheetFormatPr baseColWidth="10" defaultColWidth="8.83203125" defaultRowHeight="15" x14ac:dyDescent="0.2"/>
  <cols>
    <col min="5" max="5" width="19.83203125" customWidth="1"/>
    <col min="6" max="6" width="21.6640625" customWidth="1"/>
    <col min="7" max="7" width="24.6640625" customWidth="1"/>
    <col min="8" max="8" width="19.33203125" customWidth="1"/>
    <col min="9" max="9" width="22.83203125" customWidth="1"/>
    <col min="10" max="10" width="29.5" customWidth="1"/>
    <col min="11" max="11" width="18.83203125" customWidth="1"/>
    <col min="12" max="12" width="17.6640625" customWidth="1"/>
  </cols>
  <sheetData>
    <row r="1" spans="1:12" x14ac:dyDescent="0.2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201</v>
      </c>
      <c r="H1" s="1" t="s">
        <v>204</v>
      </c>
      <c r="I1" s="1" t="s">
        <v>202</v>
      </c>
      <c r="J1" s="1" t="s">
        <v>203</v>
      </c>
      <c r="K1" s="1" t="s">
        <v>190</v>
      </c>
      <c r="L1" s="1" t="s">
        <v>191</v>
      </c>
    </row>
    <row r="2" spans="1:12" x14ac:dyDescent="0.2">
      <c r="A2">
        <v>92</v>
      </c>
      <c r="B2">
        <v>43</v>
      </c>
      <c r="C2">
        <v>26169.96</v>
      </c>
      <c r="D2">
        <f t="shared" ref="D2" si="0">C2/A2</f>
        <v>284.45608695652174</v>
      </c>
      <c r="E2">
        <v>4300</v>
      </c>
      <c r="F2">
        <v>19.420000000000002</v>
      </c>
      <c r="G2">
        <f>C2*0.03681</f>
        <v>963.31622760000005</v>
      </c>
      <c r="H2">
        <f>E2*14.476</f>
        <v>62246.8</v>
      </c>
      <c r="I2">
        <f>G2+(H2/30)</f>
        <v>3038.2095609333337</v>
      </c>
      <c r="J2">
        <f t="shared" ref="J2" si="1">I2/A2</f>
        <v>33.024016966666672</v>
      </c>
      <c r="K2">
        <v>12.21</v>
      </c>
      <c r="L2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4" x14ac:dyDescent="0.2">
      <c r="A1" s="1" t="s">
        <v>192</v>
      </c>
      <c r="B1" s="1" t="s">
        <v>193</v>
      </c>
      <c r="C1" s="1" t="s">
        <v>194</v>
      </c>
      <c r="D1" s="1" t="s">
        <v>195</v>
      </c>
    </row>
    <row r="2" spans="1:4" x14ac:dyDescent="0.2">
      <c r="A2" t="s">
        <v>196</v>
      </c>
      <c r="B2">
        <v>92</v>
      </c>
      <c r="C2">
        <v>1200000</v>
      </c>
      <c r="D2">
        <v>110400000</v>
      </c>
    </row>
    <row r="3" spans="1:4" x14ac:dyDescent="0.2">
      <c r="A3" t="s">
        <v>197</v>
      </c>
      <c r="B3">
        <v>43</v>
      </c>
      <c r="C3">
        <v>180000</v>
      </c>
      <c r="D3">
        <v>7740000</v>
      </c>
    </row>
    <row r="4" spans="1:4" x14ac:dyDescent="0.2">
      <c r="A4" t="s">
        <v>198</v>
      </c>
      <c r="B4">
        <v>43</v>
      </c>
      <c r="C4">
        <v>70000</v>
      </c>
      <c r="D4">
        <v>3010000</v>
      </c>
    </row>
    <row r="5" spans="1:4" x14ac:dyDescent="0.2">
      <c r="A5" t="s">
        <v>199</v>
      </c>
      <c r="D5">
        <v>121150000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6.6640625" customWidth="1"/>
  </cols>
  <sheetData>
    <row r="1" spans="1:2" x14ac:dyDescent="0.2">
      <c r="A1" s="1" t="s">
        <v>192</v>
      </c>
      <c r="B1" s="1" t="s">
        <v>200</v>
      </c>
    </row>
    <row r="2" spans="1:2" x14ac:dyDescent="0.2">
      <c r="A2" t="s">
        <v>206</v>
      </c>
      <c r="B2">
        <f>Metrics!G2*30</f>
        <v>28899.486828000001</v>
      </c>
    </row>
    <row r="3" spans="1:2" x14ac:dyDescent="0.2">
      <c r="A3" t="s">
        <v>205</v>
      </c>
      <c r="B3">
        <f>Metrics!H2</f>
        <v>62246.8</v>
      </c>
    </row>
    <row r="4" spans="1:2" x14ac:dyDescent="0.2">
      <c r="A4" t="s">
        <v>207</v>
      </c>
      <c r="B4">
        <f>B2+B3</f>
        <v>91146.286828000011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AvgSOC</vt:lpstr>
      <vt:lpstr>PowerAndPrice</vt:lpstr>
      <vt:lpstr>ChargerActivity</vt:lpstr>
      <vt:lpstr>ChargerGantt</vt:lpstr>
      <vt:lpstr>FleetUtilisationByBus</vt:lpstr>
      <vt:lpstr>FleetUtilisationFleetAvg</vt:lpstr>
      <vt:lpstr>ChargerUtilisation</vt:lpstr>
      <vt:lpstr>FleetEnergy</vt:lpstr>
      <vt:lpstr>EnergyHeatmap</vt:lpstr>
      <vt:lpstr>Metrics</vt:lpstr>
      <vt:lpstr>Costs_CAPEX</vt:lpstr>
      <vt:lpstr>Costs_OPEX_Month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2025-10-18T18:44:52Z</dcterms:created>
  <dcterms:modified xsi:type="dcterms:W3CDTF">2025-10-19T02:26:17Z</dcterms:modified>
</cp:coreProperties>
</file>